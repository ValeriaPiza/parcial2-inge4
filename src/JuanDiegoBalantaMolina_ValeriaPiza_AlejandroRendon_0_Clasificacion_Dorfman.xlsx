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500" firstSheet="4" activeTab="6" autoFilterDateGrouping="1"/>
  </bookViews>
  <sheets>
    <sheet xmlns:r="http://schemas.openxmlformats.org/officeDocument/2006/relationships" name="Clasificación" sheetId="1" state="visible" r:id="rId1"/>
    <sheet xmlns:r="http://schemas.openxmlformats.org/officeDocument/2006/relationships" name="Dorfman F1" sheetId="2" state="visible" r:id="rId2"/>
    <sheet xmlns:r="http://schemas.openxmlformats.org/officeDocument/2006/relationships" name="Dorfman F2" sheetId="3" state="visible" r:id="rId3"/>
    <sheet xmlns:r="http://schemas.openxmlformats.org/officeDocument/2006/relationships" name="Trazabilidad RF-Componente" sheetId="4" state="visible" r:id="rId4"/>
    <sheet xmlns:r="http://schemas.openxmlformats.org/officeDocument/2006/relationships" name="Cobertura R1-R15" sheetId="5" state="visible" r:id="rId5"/>
    <sheet xmlns:r="http://schemas.openxmlformats.org/officeDocument/2006/relationships" name="Tarjetas CRC" sheetId="6" state="visible" r:id="rId6"/>
    <sheet xmlns:r="http://schemas.openxmlformats.org/officeDocument/2006/relationships" name="Interfaces y Protocolos" sheetId="7" state="visible" r:id="rId7"/>
  </sheets>
  <definedNames/>
  <calcPr calcId="191029" fullCalcOnLoad="1" iterateDelta="0.0001"/>
</workbook>
</file>

<file path=xl/styles.xml><?xml version="1.0" encoding="utf-8"?>
<styleSheet xmlns="http://schemas.openxmlformats.org/spreadsheetml/2006/main">
  <numFmts count="0"/>
  <fonts count="10">
    <font>
      <name val="Calibri"/>
      <charset val="1"/>
      <family val="2"/>
      <color theme="1"/>
      <sz val="11"/>
    </font>
    <font>
      <name val="Arial"/>
      <charset val="1"/>
      <b val="1"/>
      <color rgb="FF1F3864"/>
      <sz val="14"/>
    </font>
    <font>
      <name val="Arial"/>
      <charset val="1"/>
      <color rgb="FF555555"/>
      <sz val="10"/>
    </font>
    <font>
      <name val="Arial"/>
      <charset val="1"/>
      <b val="1"/>
      <sz val="10"/>
    </font>
    <font>
      <name val="Arial"/>
      <charset val="1"/>
      <sz val="10"/>
    </font>
    <font>
      <name val="Arial"/>
      <charset val="1"/>
      <sz val="9"/>
    </font>
    <font>
      <name val="Arial"/>
      <family val="2"/>
      <b val="1"/>
      <sz val="14"/>
    </font>
    <font>
      <name val="Arial"/>
      <family val="2"/>
      <sz val="10"/>
    </font>
    <font>
      <name val="Arial"/>
      <family val="2"/>
      <b val="1"/>
      <sz val="10"/>
    </font>
    <font>
      <name val="Calibri"/>
      <charset val="1"/>
      <family val="2"/>
      <sz val="11"/>
    </font>
  </fonts>
  <fills count="8">
    <fill>
      <patternFill/>
    </fill>
    <fill>
      <patternFill patternType="gray125"/>
    </fill>
    <fill>
      <patternFill patternType="solid">
        <fgColor rgb="FFFFF2CC"/>
        <bgColor rgb="FFFFFFFF"/>
      </patternFill>
    </fill>
    <fill>
      <patternFill patternType="solid">
        <fgColor theme="7" tint="0.3999755851924192"/>
        <bgColor rgb="FF333333"/>
      </patternFill>
    </fill>
    <fill>
      <patternFill patternType="solid">
        <fgColor theme="7" tint="0.3999755851924192"/>
        <bgColor indexed="64"/>
      </patternFill>
    </fill>
    <fill>
      <patternFill patternType="solid">
        <fgColor theme="7" tint="0.7999816888943144"/>
        <bgColor rgb="FFCCFFFF"/>
      </patternFill>
    </fill>
    <fill>
      <patternFill patternType="solid">
        <fgColor theme="7" tint="0.7999816888943144"/>
        <bgColor indexed="64"/>
      </patternFill>
    </fill>
    <fill>
      <patternFill patternType="solid">
        <fgColor theme="7" tint="0.7999816888943144"/>
        <bgColor rgb="FFFFFFFF"/>
      </patternFill>
    </fill>
  </fills>
  <borders count="14">
    <border>
      <left/>
      <right/>
      <top/>
      <bottom/>
      <diagonal/>
    </border>
    <border>
      <left style="thin">
        <color rgb="FF999999"/>
      </left>
      <right style="thin">
        <color rgb="FF999999"/>
      </right>
      <top style="thin">
        <color rgb="FF999999"/>
      </top>
      <bottom style="thin">
        <color rgb="FF999999"/>
      </bottom>
      <diagonal/>
    </border>
    <border>
      <left style="thin">
        <color indexed="64"/>
      </left>
      <right style="thin">
        <color indexed="64"/>
      </right>
      <top style="thin">
        <color indexed="64"/>
      </top>
      <bottom style="thin">
        <color indexed="64"/>
      </bottom>
      <diagonal/>
    </border>
    <border>
      <left style="thin">
        <color rgb="FF999999"/>
      </left>
      <right style="thin">
        <color rgb="FF999999"/>
      </right>
      <top/>
      <bottom style="thin">
        <color rgb="FF999999"/>
      </bottom>
      <diagonal/>
    </border>
    <border>
      <left/>
      <right style="thin">
        <color indexed="64"/>
      </right>
      <top style="thin">
        <color indexed="64"/>
      </top>
      <bottom style="thin">
        <color indexed="64"/>
      </bottom>
      <diagonal/>
    </border>
    <border>
      <left/>
      <right/>
      <top style="thin">
        <color rgb="FF999999"/>
      </top>
      <bottom/>
      <diagonal/>
    </border>
    <border>
      <left/>
      <right style="thin">
        <color rgb="FF999999"/>
      </right>
      <top style="thin">
        <color rgb="FF999999"/>
      </top>
      <bottom/>
      <diagonal/>
    </border>
    <border>
      <left/>
      <right style="thin">
        <color rgb="FF999999"/>
      </right>
      <top style="thin">
        <color rgb="FF999999"/>
      </top>
      <bottom style="thin">
        <color rgb="FF999999"/>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top style="thin">
        <color rgb="FF999999"/>
      </top>
      <bottom style="thin">
        <color rgb="FF999999"/>
      </bottom>
      <diagonal/>
    </border>
    <border>
      <left style="thin">
        <color rgb="FF999999"/>
      </left>
      <right/>
      <top/>
      <bottom/>
      <diagonal/>
    </border>
    <border>
      <left style="thin">
        <color rgb="FF999999"/>
      </left>
      <right style="thin">
        <color rgb="FF999999"/>
      </right>
      <top/>
      <bottom/>
      <diagonal/>
    </border>
  </borders>
  <cellStyleXfs count="1">
    <xf numFmtId="0" fontId="0" fillId="0" borderId="0"/>
  </cellStyleXfs>
  <cellXfs count="41">
    <xf numFmtId="0" fontId="0" fillId="0" borderId="0" pivotButton="0" quotePrefix="0" xfId="0"/>
    <xf numFmtId="0" fontId="4" fillId="0" borderId="1" applyAlignment="1" pivotButton="0" quotePrefix="0" xfId="0">
      <alignment horizontal="left" vertical="center" wrapText="1"/>
    </xf>
    <xf numFmtId="0" fontId="3" fillId="0" borderId="1" applyAlignment="1" pivotButton="0" quotePrefix="0" xfId="0">
      <alignment horizontal="left" vertical="center" wrapText="1"/>
    </xf>
    <xf numFmtId="0" fontId="4" fillId="0" borderId="1" applyAlignment="1" pivotButton="0" quotePrefix="0" xfId="0">
      <alignment horizontal="center" vertical="center" wrapText="1"/>
    </xf>
    <xf numFmtId="0" fontId="5" fillId="0" borderId="0" applyAlignment="1" pivotButton="0" quotePrefix="0" xfId="0">
      <alignment vertical="top" wrapText="1"/>
    </xf>
    <xf numFmtId="0" fontId="3" fillId="0" borderId="1" applyAlignment="1" pivotButton="0" quotePrefix="0" xfId="0">
      <alignment horizontal="center" vertical="center" wrapText="1"/>
    </xf>
    <xf numFmtId="0" fontId="2" fillId="0" borderId="0" pivotButton="0" quotePrefix="0" xfId="0"/>
    <xf numFmtId="0" fontId="1" fillId="0" borderId="0" pivotButton="0" quotePrefix="0" xfId="0"/>
    <xf numFmtId="0" fontId="3"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4" fillId="0" borderId="1" applyAlignment="1" pivotButton="0" quotePrefix="0" xfId="0">
      <alignment horizontal="center" vertical="center" wrapText="1"/>
    </xf>
    <xf numFmtId="0" fontId="4" fillId="2" borderId="1" applyAlignment="1" pivotButton="0" quotePrefix="0" xfId="0">
      <alignment horizontal="center" vertical="center" wrapText="1"/>
    </xf>
    <xf numFmtId="0" fontId="3" fillId="0" borderId="1" applyAlignment="1" pivotButton="0" quotePrefix="0" xfId="0">
      <alignment horizontal="left" vertical="center" wrapText="1"/>
    </xf>
    <xf numFmtId="0" fontId="6" fillId="0" borderId="0" pivotButton="0" quotePrefix="0" xfId="0"/>
    <xf numFmtId="0" fontId="7" fillId="0" borderId="0" pivotButton="0" quotePrefix="0" xfId="0"/>
    <xf numFmtId="0" fontId="8" fillId="3" borderId="1" applyAlignment="1" pivotButton="0" quotePrefix="0" xfId="0">
      <alignment horizontal="center" vertical="center" wrapText="1"/>
    </xf>
    <xf numFmtId="0" fontId="9" fillId="4" borderId="0" pivotButton="0" quotePrefix="0" xfId="0"/>
    <xf numFmtId="0" fontId="3" fillId="0" borderId="3" applyAlignment="1" pivotButton="0" quotePrefix="0" xfId="0">
      <alignment horizontal="center" vertical="center" wrapText="1"/>
    </xf>
    <xf numFmtId="0" fontId="4" fillId="0" borderId="3" applyAlignment="1" pivotButton="0" quotePrefix="0" xfId="0">
      <alignment horizontal="left" vertical="center" wrapText="1"/>
    </xf>
    <xf numFmtId="0" fontId="4" fillId="0" borderId="3" applyAlignment="1" pivotButton="0" quotePrefix="0" xfId="0">
      <alignment horizontal="center" vertical="center" wrapText="1"/>
    </xf>
    <xf numFmtId="0" fontId="8" fillId="3" borderId="2" applyAlignment="1" pivotButton="0" quotePrefix="0" xfId="0">
      <alignment horizontal="center" vertical="center" wrapText="1"/>
    </xf>
    <xf numFmtId="0" fontId="9" fillId="4" borderId="2" pivotButton="0" quotePrefix="0" xfId="0"/>
    <xf numFmtId="0" fontId="8" fillId="3" borderId="4" applyAlignment="1" pivotButton="0" quotePrefix="0" xfId="0">
      <alignment horizontal="center" vertical="center" wrapText="1"/>
    </xf>
    <xf numFmtId="0" fontId="8" fillId="5" borderId="2" applyAlignment="1" pivotButton="0" quotePrefix="0" xfId="0">
      <alignment horizontal="center" vertical="center" wrapText="1"/>
    </xf>
    <xf numFmtId="0" fontId="8" fillId="5" borderId="2" applyAlignment="1" pivotButton="0" quotePrefix="0" xfId="0">
      <alignment horizontal="center" vertical="center" wrapText="1"/>
    </xf>
    <xf numFmtId="0" fontId="4" fillId="5"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5" borderId="1" applyAlignment="1" pivotButton="0" quotePrefix="0" xfId="0">
      <alignment horizontal="left" vertical="center" wrapText="1"/>
    </xf>
    <xf numFmtId="0" fontId="0" fillId="6" borderId="0" pivotButton="0" quotePrefix="0" xfId="0"/>
    <xf numFmtId="0" fontId="4" fillId="7" borderId="1" applyAlignment="1" pivotButton="0" quotePrefix="0" xfId="0">
      <alignment horizontal="center" vertical="center" wrapText="1"/>
    </xf>
    <xf numFmtId="0" fontId="8" fillId="0" borderId="0" pivotButton="0" quotePrefix="0" xfId="0"/>
    <xf numFmtId="0" fontId="7"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8" fillId="3" borderId="1" applyAlignment="1" pivotButton="0" quotePrefix="0" xfId="0">
      <alignment horizontal="center" vertical="center" wrapText="1"/>
    </xf>
    <xf numFmtId="0" fontId="8" fillId="3" borderId="1" applyAlignment="1" pivotButton="0" quotePrefix="0" xfId="0">
      <alignment horizontal="center" textRotation="90"/>
    </xf>
    <xf numFmtId="0" fontId="0" fillId="0" borderId="10" pivotButton="0" quotePrefix="0" xfId="0"/>
    <xf numFmtId="0" fontId="0" fillId="0" borderId="4" pivotButton="0" quotePrefix="0" xfId="0"/>
    <xf numFmtId="0" fontId="0" fillId="0" borderId="7" pivotButton="0" quotePrefix="0" xfId="0"/>
    <xf numFmtId="0" fontId="0" fillId="0" borderId="13" pivotButton="0" quotePrefix="0" xfId="0"/>
    <xf numFmtId="0" fontId="0" fillId="0" borderId="3" pivotButton="0" quotePrefix="0" xfId="0"/>
    <xf numFmtId="0" fontId="0" fillId="0" borderId="11"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99999"/>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R28"/>
  <sheetViews>
    <sheetView zoomScaleNormal="100" workbookViewId="0">
      <pane xSplit="2" ySplit="5" topLeftCell="C6" activePane="bottomRight" state="frozen"/>
      <selection pane="topRight" activeCell="C1" sqref="C1"/>
      <selection pane="bottomLeft" activeCell="A6" sqref="A6"/>
      <selection pane="bottomRight" activeCell="C6" sqref="C6"/>
    </sheetView>
  </sheetViews>
  <sheetFormatPr baseColWidth="10" defaultColWidth="8.6640625" defaultRowHeight="14.4"/>
  <cols>
    <col width="6" customWidth="1" min="1" max="1"/>
    <col width="62" customWidth="1" min="2" max="2"/>
    <col width="9" customWidth="1" min="3" max="3"/>
    <col width="7" customWidth="1" min="4" max="4"/>
    <col width="9" customWidth="1" min="5" max="5"/>
    <col width="8" customWidth="1" min="6" max="6"/>
    <col width="9" customWidth="1" min="7" max="7"/>
    <col width="5" customWidth="1" min="8" max="9"/>
    <col width="8" customWidth="1" min="10" max="10"/>
    <col width="7" customWidth="1" min="11" max="12"/>
    <col width="8" customWidth="1" min="13" max="13"/>
    <col width="7" customWidth="1" min="14" max="15"/>
    <col width="24" customWidth="1" min="16" max="16"/>
    <col width="62" customWidth="1" min="17" max="17"/>
    <col width="26" customWidth="1" min="18" max="18"/>
  </cols>
  <sheetData>
    <row r="1" ht="21.75" customHeight="1">
      <c r="A1" s="13" t="n"/>
    </row>
    <row r="2">
      <c r="A2" s="14" t="n"/>
    </row>
    <row r="4" ht="23.85" customHeight="1">
      <c r="C4" s="24" t="inlineStr">
        <is>
          <t>Pilar del sistema</t>
        </is>
      </c>
      <c r="D4" s="35" t="n"/>
      <c r="E4" s="36" t="n"/>
      <c r="F4" s="24" t="inlineStr">
        <is>
          <t>Naturaleza</t>
        </is>
      </c>
      <c r="G4" s="36" t="n"/>
      <c r="H4" s="24" t="inlineStr">
        <is>
          <t>Tipo (Producto)</t>
        </is>
      </c>
      <c r="I4" s="36" t="n"/>
      <c r="J4" s="24" t="inlineStr">
        <is>
          <t>RAS</t>
        </is>
      </c>
      <c r="K4" s="24" t="inlineStr">
        <is>
          <t>Origen del RAS</t>
        </is>
      </c>
      <c r="L4" s="35" t="n"/>
      <c r="M4" s="35" t="n"/>
      <c r="N4" s="35" t="n"/>
      <c r="O4" s="36" t="n"/>
    </row>
    <row r="5" ht="36" customFormat="1" customHeight="1" s="21">
      <c r="A5" s="20" t="inlineStr">
        <is>
          <t>ID</t>
        </is>
      </c>
      <c r="B5" s="20" t="inlineStr">
        <is>
          <t>Descripción del requerimiento</t>
        </is>
      </c>
      <c r="C5" s="20" t="inlineStr">
        <is>
          <t>Hardware</t>
        </is>
      </c>
      <c r="D5" s="20" t="inlineStr">
        <is>
          <t>Redes</t>
        </is>
      </c>
      <c r="E5" s="20" t="inlineStr">
        <is>
          <t>Software</t>
        </is>
      </c>
      <c r="F5" s="20" t="inlineStr">
        <is>
          <t>Proceso</t>
        </is>
      </c>
      <c r="G5" s="20" t="inlineStr">
        <is>
          <t>Producto</t>
        </is>
      </c>
      <c r="H5" s="20" t="inlineStr">
        <is>
          <t>RF</t>
        </is>
      </c>
      <c r="I5" s="20" t="inlineStr">
        <is>
          <t>RNF</t>
        </is>
      </c>
      <c r="J5" s="20" t="inlineStr">
        <is>
          <t>RAS (Sí/No)</t>
        </is>
      </c>
      <c r="K5" s="20" t="inlineStr">
        <is>
          <t>Vol Fun</t>
        </is>
      </c>
      <c r="L5" s="20" t="inlineStr">
        <is>
          <t>Flia Prd</t>
        </is>
      </c>
      <c r="M5" s="20" t="inlineStr">
        <is>
          <t>Op&amp;Dep</t>
        </is>
      </c>
      <c r="N5" s="20" t="inlineStr">
        <is>
          <t>Atr Cal</t>
        </is>
      </c>
      <c r="O5" s="20" t="inlineStr">
        <is>
          <t>Det Tec</t>
        </is>
      </c>
      <c r="P5" s="22" t="inlineStr">
        <is>
          <t>Atributo de calidad (Bass/SEI)</t>
        </is>
      </c>
      <c r="Q5" s="20" t="inlineStr">
        <is>
          <t>Justificación de la clasificación y del origen del RAS</t>
        </is>
      </c>
      <c r="R5" s="20" t="inlineStr">
        <is>
          <t>Restricción de hardware / ergonómica</t>
        </is>
      </c>
    </row>
    <row r="6" ht="111.75" customHeight="1">
      <c r="A6" s="17" t="inlineStr">
        <is>
          <t>R1</t>
        </is>
      </c>
      <c r="B6" s="18" t="inlineStr">
        <is>
          <t>Los medidores inteligentes y los transformadores generan eventos (sobretensión, caída de voltaje, corte intempestivo o alarma de manipulación física/tamper) que deben procesarse automáticamente para categorizarlos y asignarles una prioridad de atención. Además, el técnico de cuadrilla debe poder reportar eventos operativos de campo (previamente parametrizados con su categoría y prioridad) mediante la interfaz gráfica del dispositivo móvil de mantenimiento.</t>
        </is>
      </c>
      <c r="C6" s="19" t="inlineStr">
        <is>
          <t>x</t>
        </is>
      </c>
      <c r="D6" s="19" t="inlineStr">
        <is>
          <t>x</t>
        </is>
      </c>
      <c r="E6" s="19" t="inlineStr">
        <is>
          <t>x</t>
        </is>
      </c>
      <c r="F6" s="19" t="n"/>
      <c r="G6" s="19" t="inlineStr">
        <is>
          <t>x</t>
        </is>
      </c>
      <c r="H6" s="19" t="inlineStr">
        <is>
          <t>x</t>
        </is>
      </c>
      <c r="I6" s="19" t="n"/>
      <c r="J6" s="17" t="inlineStr">
        <is>
          <t>Sí</t>
        </is>
      </c>
      <c r="K6" s="19" t="inlineStr">
        <is>
          <t>x</t>
        </is>
      </c>
      <c r="L6" s="19" t="n"/>
      <c r="M6" s="19" t="n"/>
      <c r="N6" s="19" t="n"/>
      <c r="O6" s="19" t="n"/>
      <c r="P6" s="19" t="inlineStr">
        <is>
          <t>Modificabilidad (y Rendimiento)</t>
        </is>
      </c>
      <c r="Q6" s="18" t="inlineStr">
        <is>
          <t>RF: categorizar, priorizar y reportar eventos. RAS por volatilidad funcional: los tipos de evento, categorías y prioridades son parametrizables y crecerán (nuevos eventos de campo), por lo que la regla de clasificación no puede quedar cableada. Involucra medidores y terminal móvil (Hw), red celular/RF y software.</t>
        </is>
      </c>
      <c r="R6" s="19" t="inlineStr">
        <is>
          <t>Terminal móvil de mantenimiento (Hw)</t>
        </is>
      </c>
    </row>
    <row r="7" ht="84.75" customHeight="1">
      <c r="A7" s="8" t="inlineStr">
        <is>
          <t>R2</t>
        </is>
      </c>
      <c r="B7" s="9" t="inlineStr">
        <is>
          <t>Para permitir una operación segura en campo bajo lluvia y con guantes dieléctricos de alta tensión, la terminal portátil de inspección debe permitir seleccionar las opciones del menú mediante dos botones físicos engomados laterales (avance y retroceso) y confirmar la selección con un pulsador central engomado.</t>
        </is>
      </c>
      <c r="C7" s="10" t="inlineStr">
        <is>
          <t>x</t>
        </is>
      </c>
      <c r="D7" s="10" t="n"/>
      <c r="E7" s="10" t="inlineStr">
        <is>
          <t>x</t>
        </is>
      </c>
      <c r="F7" s="10" t="n"/>
      <c r="G7" s="10" t="inlineStr">
        <is>
          <t>x</t>
        </is>
      </c>
      <c r="H7" s="10" t="n"/>
      <c r="I7" s="10" t="inlineStr">
        <is>
          <t>x</t>
        </is>
      </c>
      <c r="J7" s="8" t="inlineStr">
        <is>
          <t>Sí</t>
        </is>
      </c>
      <c r="K7" s="10" t="n"/>
      <c r="L7" s="10" t="n"/>
      <c r="M7" s="10" t="n"/>
      <c r="N7" s="10" t="inlineStr">
        <is>
          <t>x</t>
        </is>
      </c>
      <c r="O7" s="10" t="inlineStr">
        <is>
          <t>x</t>
        </is>
      </c>
      <c r="P7" s="10" t="inlineStr">
        <is>
          <t>Usabilidad (restricción ergonómica de hardware)</t>
        </is>
      </c>
      <c r="Q7" s="9" t="inlineStr">
        <is>
          <t>RNF: restricción ergonómica de hardware (lluvia, guantes dieléctricos; dos botones de avance/retroceso y un pulsador de confirmación). Es RAS por detalle técnico de hardware: la interfaz de la terminal solo puede navegar por menús lineales de 3 acciones, lo que condiciona el diseño de la UI de campo.</t>
        </is>
      </c>
      <c r="R7" s="10" t="inlineStr">
        <is>
          <t>Sí: botones físicos engomados, guantes dieléctricos, lluvia</t>
        </is>
      </c>
    </row>
    <row r="8" ht="57.75" customHeight="1">
      <c r="A8" s="8" t="inlineStr">
        <is>
          <t>R3</t>
        </is>
      </c>
      <c r="B8" s="9" t="inlineStr">
        <is>
          <t>El sistema debe permitir administrar los roles, los usuarios y los permisos (operadores de centro de control, ingenieros de calidad de energía, despachadores de cuadrillas y administradores del sistema).</t>
        </is>
      </c>
      <c r="C8" s="10" t="n"/>
      <c r="D8" s="10" t="n"/>
      <c r="E8" s="10" t="inlineStr">
        <is>
          <t>x</t>
        </is>
      </c>
      <c r="F8" s="10" t="n"/>
      <c r="G8" s="10" t="inlineStr">
        <is>
          <t>x</t>
        </is>
      </c>
      <c r="H8" s="10" t="inlineStr">
        <is>
          <t>x</t>
        </is>
      </c>
      <c r="I8" s="10" t="n"/>
      <c r="J8" s="8" t="inlineStr">
        <is>
          <t>Sí</t>
        </is>
      </c>
      <c r="K8" s="10" t="n"/>
      <c r="L8" s="10" t="n"/>
      <c r="M8" s="10" t="n"/>
      <c r="N8" s="10" t="inlineStr">
        <is>
          <t>x</t>
        </is>
      </c>
      <c r="O8" s="10" t="n"/>
      <c r="P8" s="10" t="inlineStr">
        <is>
          <t>Seguridad (autorización)</t>
        </is>
      </c>
      <c r="Q8" s="9" t="inlineStr">
        <is>
          <t>RF de administración de roles, usuarios y permisos. RAS por atributo de calidad: el modelo de roles gobierna qué puede ver o hacer cada tipo de usuario en todos los demás módulos (seguridad transversal).</t>
        </is>
      </c>
      <c r="R8" s="10" t="n"/>
    </row>
    <row r="9" ht="84.75" customHeight="1">
      <c r="A9" s="8" t="inlineStr">
        <is>
          <t>R4</t>
        </is>
      </c>
      <c r="B9" s="9" t="inlineStr">
        <is>
          <t>El sistema debe permitir visualizar el estado operativo de toda la red eléctrica de la ciudad en tiempo real sobre el mapa georreferenciado de Cali a través de los datagramas recibidos, mostrando la ubicación y estado (normal, advertencia de sobrecarga, corte de energía o sospecha de fraude) de los transformadores y circuitos de distribución.</t>
        </is>
      </c>
      <c r="C9" s="10" t="n"/>
      <c r="D9" s="10" t="inlineStr">
        <is>
          <t>x</t>
        </is>
      </c>
      <c r="E9" s="10" t="inlineStr">
        <is>
          <t>x</t>
        </is>
      </c>
      <c r="F9" s="10" t="n"/>
      <c r="G9" s="10" t="inlineStr">
        <is>
          <t>x</t>
        </is>
      </c>
      <c r="H9" s="10" t="inlineStr">
        <is>
          <t>x</t>
        </is>
      </c>
      <c r="I9" s="10" t="n"/>
      <c r="J9" s="8" t="inlineStr">
        <is>
          <t>Sí</t>
        </is>
      </c>
      <c r="K9" s="10" t="n"/>
      <c r="L9" s="10" t="n"/>
      <c r="M9" s="10" t="n"/>
      <c r="N9" s="10" t="inlineStr">
        <is>
          <t>x</t>
        </is>
      </c>
      <c r="O9" s="10" t="inlineStr">
        <is>
          <t>x</t>
        </is>
      </c>
      <c r="P9" s="10" t="inlineStr">
        <is>
          <t>Rendimiento (latencia en tiempo real)</t>
        </is>
      </c>
      <c r="Q9" s="9" t="inlineStr">
        <is>
          <t>RF: visualizar el estado de la red en mapa. RAS por rendimiento: el estado debe reflejar los datagramas entrantes (15–25 millones diarios) con latencia baja, y por detalle técnico: mapa georreferenciado de Cali con ubicación de transformadores y circuitos.</t>
        </is>
      </c>
      <c r="R9" s="10" t="n"/>
    </row>
    <row r="10" ht="57.75" customHeight="1">
      <c r="A10" s="8" t="inlineStr">
        <is>
          <t>R5</t>
        </is>
      </c>
      <c r="B10" s="9" t="inlineStr">
        <is>
          <t>El diseño del sistema debe modelarse utilizando diagramas formales en notación UML 2.5 (ISO/IEC 19505).</t>
        </is>
      </c>
      <c r="C10" s="10" t="n"/>
      <c r="D10" s="10" t="n"/>
      <c r="E10" s="10" t="inlineStr">
        <is>
          <t>x</t>
        </is>
      </c>
      <c r="F10" s="10" t="inlineStr">
        <is>
          <t>x</t>
        </is>
      </c>
      <c r="G10" s="10" t="n"/>
      <c r="H10" s="10" t="n"/>
      <c r="I10" s="10" t="n"/>
      <c r="J10" s="8" t="inlineStr">
        <is>
          <t>No</t>
        </is>
      </c>
      <c r="K10" s="10" t="n"/>
      <c r="L10" s="10" t="n"/>
      <c r="M10" s="10" t="n"/>
      <c r="N10" s="10" t="n"/>
      <c r="O10" s="10" t="n"/>
      <c r="P10" s="10" t="inlineStr">
        <is>
          <t>—</t>
        </is>
      </c>
      <c r="Q10" s="9" t="inlineStr">
        <is>
          <t>Requerimiento de PROCESO: dice cómo se desarrolla el diseño (notación UML 2.5, ISO/IEC 19505), no qué hace el producto; no es RF ni RNF. No es RAS: no condiciona la estructura del sistema en ejecución.</t>
        </is>
      </c>
      <c r="R10" s="10" t="n"/>
    </row>
    <row r="11" ht="98.25" customHeight="1">
      <c r="A11" s="8" t="inlineStr">
        <is>
          <t>R6</t>
        </is>
      </c>
      <c r="B11" s="9" t="inlineStr">
        <is>
          <t>El sistema debe ser capaz de recibir y procesar los significativos volúmenes de datos generados por los medidores inteligentes y macromedidores de la red (lecturas de tensión, potencias, consumo acumulado, eventos de calidad eléctrica y reportes de las cuadrillas), combinando información histórica con los datos que se reciben en tiempo real. Todos estos datos deben ser persistidos en base de datos.</t>
        </is>
      </c>
      <c r="C11" s="10" t="n"/>
      <c r="D11" s="10" t="inlineStr">
        <is>
          <t>x</t>
        </is>
      </c>
      <c r="E11" s="10" t="inlineStr">
        <is>
          <t>x</t>
        </is>
      </c>
      <c r="F11" s="10" t="n"/>
      <c r="G11" s="10" t="inlineStr">
        <is>
          <t>x</t>
        </is>
      </c>
      <c r="H11" s="10" t="inlineStr">
        <is>
          <t>x</t>
        </is>
      </c>
      <c r="I11" s="10" t="n"/>
      <c r="J11" s="8" t="inlineStr">
        <is>
          <t>Sí</t>
        </is>
      </c>
      <c r="K11" s="10" t="n"/>
      <c r="L11" s="10" t="n"/>
      <c r="M11" s="10" t="inlineStr">
        <is>
          <t>x</t>
        </is>
      </c>
      <c r="N11" s="10" t="inlineStr">
        <is>
          <t>x</t>
        </is>
      </c>
      <c r="O11" s="10" t="n"/>
      <c r="P11" s="10" t="inlineStr">
        <is>
          <t>Rendimiento</t>
        </is>
      </c>
      <c r="Q11" s="9" t="inlineStr">
        <is>
          <t>RF: ingesta, procesamiento, combinación histórico + tiempo real y persistencia. RAS por operación y despliegue: 15–25 millones de datagramas diarios hoy y 2.000.000 de puntos a futuro exigen almacenamiento y procesamiento distribuidos (la exigencia de volumen es el atributo de calidad que lo hace significativo).</t>
        </is>
      </c>
      <c r="R11" s="10" t="n"/>
    </row>
    <row r="12" ht="111.75" customHeight="1">
      <c r="A12" s="8" t="inlineStr">
        <is>
          <t>R7</t>
        </is>
      </c>
      <c r="B12" s="9" t="inlineStr">
        <is>
          <t>El sistema debe permitir estimar el balance de energía y el porcentaje de pérdidas no técnicas (fraude/fuga) de todos los circuitos y transformadores de distribución por mes, comparando la energía total inyectada registrada por el macromedidor del transformador contra la sumatoria de las energías consumidas por los medidores inteligentes asociados, utilizando los datos históricos de los datagramas recibidos en el año seleccionado para el proyecto piloto.</t>
        </is>
      </c>
      <c r="C12" s="10" t="n"/>
      <c r="D12" s="10" t="n"/>
      <c r="E12" s="10" t="inlineStr">
        <is>
          <t>x</t>
        </is>
      </c>
      <c r="F12" s="10" t="n"/>
      <c r="G12" s="10" t="inlineStr">
        <is>
          <t>x</t>
        </is>
      </c>
      <c r="H12" s="10" t="inlineStr">
        <is>
          <t>x</t>
        </is>
      </c>
      <c r="I12" s="10" t="n"/>
      <c r="J12" s="8" t="inlineStr">
        <is>
          <t>Sí</t>
        </is>
      </c>
      <c r="K12" s="10" t="n"/>
      <c r="L12" s="10" t="n"/>
      <c r="M12" s="10" t="inlineStr">
        <is>
          <t>x</t>
        </is>
      </c>
      <c r="N12" s="10" t="inlineStr">
        <is>
          <t>x</t>
        </is>
      </c>
      <c r="O12" s="10" t="n"/>
      <c r="P12" s="10" t="inlineStr">
        <is>
          <t>Rendimiento / Escalabilidad</t>
        </is>
      </c>
      <c r="Q12" s="9" t="inlineStr">
        <is>
          <t>RF: balance mensual de energía y % de pérdidas no técnicas por transformador y circuito. RAS porque agrega un año de datagramas de ~800.000 medidores (cálculo analítico batch): obliga a un motor de procesamiento distribuido y a un esquema de almacenamiento particionado por transformador y mes.</t>
        </is>
      </c>
      <c r="R12" s="10" t="n"/>
    </row>
    <row r="13" ht="44.25" customHeight="1">
      <c r="A13" s="8" t="inlineStr">
        <is>
          <t>R8</t>
        </is>
      </c>
      <c r="B13" s="9" t="inlineStr">
        <is>
          <t>El sistema debe permitir asignar circuitos eléctricos y zonas geográficas de la ciudad para ser supervisadas a un ingeniero operador del Centro de Operación y Distribución (COD).</t>
        </is>
      </c>
      <c r="C13" s="10" t="n"/>
      <c r="D13" s="10" t="n"/>
      <c r="E13" s="10" t="inlineStr">
        <is>
          <t>x</t>
        </is>
      </c>
      <c r="F13" s="10" t="n"/>
      <c r="G13" s="10" t="inlineStr">
        <is>
          <t>x</t>
        </is>
      </c>
      <c r="H13" s="10" t="inlineStr">
        <is>
          <t>x</t>
        </is>
      </c>
      <c r="I13" s="10" t="n"/>
      <c r="J13" s="8" t="inlineStr">
        <is>
          <t>No</t>
        </is>
      </c>
      <c r="K13" s="10" t="n"/>
      <c r="L13" s="10" t="n"/>
      <c r="M13" s="10" t="n"/>
      <c r="N13" s="10" t="n"/>
      <c r="O13" s="10" t="n"/>
      <c r="P13" s="10" t="inlineStr">
        <is>
          <t>—</t>
        </is>
      </c>
      <c r="Q13" s="9" t="inlineStr">
        <is>
          <t>RF de administración: asignar circuitos y zonas a un ingeniero operador. No condiciona la arquitectura: es CRUD sobre la topología y los usuarios.</t>
        </is>
      </c>
      <c r="R13" s="10" t="n"/>
    </row>
    <row r="14" ht="57.75" customHeight="1">
      <c r="A14" s="8" t="inlineStr">
        <is>
          <t>R9</t>
        </is>
      </c>
      <c r="B14" s="9" t="inlineStr">
        <is>
          <t>El sistema debe permitirle a cada uno de los 30 ingenieros operadores del COD visualizar en tiempo real sus zonas y circuitos asignados, y para cada circuito, los transformadores de distribución y medidores inteligentes asociados en dicha zona.</t>
        </is>
      </c>
      <c r="C14" s="10" t="n"/>
      <c r="D14" s="10" t="inlineStr">
        <is>
          <t>x</t>
        </is>
      </c>
      <c r="E14" s="10" t="inlineStr">
        <is>
          <t>x</t>
        </is>
      </c>
      <c r="F14" s="10" t="n"/>
      <c r="G14" s="10" t="inlineStr">
        <is>
          <t>x</t>
        </is>
      </c>
      <c r="H14" s="10" t="inlineStr">
        <is>
          <t>x</t>
        </is>
      </c>
      <c r="I14" s="10" t="n"/>
      <c r="J14" s="8" t="inlineStr">
        <is>
          <t>No</t>
        </is>
      </c>
      <c r="K14" s="10" t="n"/>
      <c r="L14" s="10" t="n"/>
      <c r="M14" s="10" t="n"/>
      <c r="N14" s="10" t="n"/>
      <c r="O14" s="10" t="n"/>
      <c r="P14" s="10" t="inlineStr">
        <is>
          <t>—</t>
        </is>
      </c>
      <c r="Q14" s="9" t="inlineStr">
        <is>
          <t>RF: vista en tiempo real filtrada por asignación (30 operadores concurrentes). Es una especialización de R4 (misma vista restringida a la zona asignada); 30 usuarios es una carga baja, resuelta por la arquitectura definida para R4.</t>
        </is>
      </c>
      <c r="R14" s="10" t="n"/>
    </row>
    <row r="15" ht="57.75" customHeight="1">
      <c r="A15" s="8" t="inlineStr">
        <is>
          <t>R10</t>
        </is>
      </c>
      <c r="B15" s="9" t="inlineStr">
        <is>
          <t>El sistema debe tener una vista que le permita a los usuarios (operadores de despacho, analistas de pérdidas y administradores) iniciar y cerrar sesión de manera autenticada y segura.</t>
        </is>
      </c>
      <c r="C15" s="10" t="n"/>
      <c r="D15" s="10" t="n"/>
      <c r="E15" s="10" t="inlineStr">
        <is>
          <t>x</t>
        </is>
      </c>
      <c r="F15" s="10" t="n"/>
      <c r="G15" s="10" t="inlineStr">
        <is>
          <t>x</t>
        </is>
      </c>
      <c r="H15" s="10" t="inlineStr">
        <is>
          <t>x</t>
        </is>
      </c>
      <c r="I15" s="10" t="n"/>
      <c r="J15" s="8" t="inlineStr">
        <is>
          <t>Sí</t>
        </is>
      </c>
      <c r="K15" s="10" t="n"/>
      <c r="L15" s="10" t="n"/>
      <c r="M15" s="10" t="n"/>
      <c r="N15" s="10" t="inlineStr">
        <is>
          <t>x</t>
        </is>
      </c>
      <c r="O15" s="10" t="n"/>
      <c r="P15" s="10" t="inlineStr">
        <is>
          <t>Seguridad (autenticación)</t>
        </is>
      </c>
      <c r="Q15" s="9" t="inlineStr">
        <is>
          <t>RF: iniciar y cerrar sesión. RAS por atributo de calidad: la autenticación segura es un mecanismo transversal (todas las vistas y APIs dependen de ella) y su sesión tiene ciclo de vida propio (R15).</t>
        </is>
      </c>
      <c r="R15" s="10" t="n"/>
    </row>
    <row r="16" ht="98.25" customHeight="1">
      <c r="A16" s="8" t="inlineStr">
        <is>
          <t>R11</t>
        </is>
      </c>
      <c r="B16" s="9" t="inlineStr">
        <is>
          <t>El sistema debe mantener un análisis actualizado del comportamiento de la red eléctrica, adaptándose al crecimiento en el volumen de datos (datagramas de telemetría AMI) y al número de fuentes conectadas (medidores inteligentes, transformadores y sensores de subestación). Debe poder procesar los nuevos eventos sin degradar la disponibilidad del sistema y asegurar que los resultados analíticos reflejen la realidad operativa de la red.</t>
        </is>
      </c>
      <c r="C16" s="10" t="inlineStr">
        <is>
          <t>x</t>
        </is>
      </c>
      <c r="D16" s="10" t="inlineStr">
        <is>
          <t>x</t>
        </is>
      </c>
      <c r="E16" s="10" t="inlineStr">
        <is>
          <t>x</t>
        </is>
      </c>
      <c r="F16" s="10" t="n"/>
      <c r="G16" s="10" t="inlineStr">
        <is>
          <t>x</t>
        </is>
      </c>
      <c r="H16" s="10" t="n"/>
      <c r="I16" s="10" t="inlineStr">
        <is>
          <t>x</t>
        </is>
      </c>
      <c r="J16" s="8" t="inlineStr">
        <is>
          <t>Sí</t>
        </is>
      </c>
      <c r="K16" s="10" t="n"/>
      <c r="L16" s="10" t="n"/>
      <c r="M16" s="10" t="inlineStr">
        <is>
          <t>x</t>
        </is>
      </c>
      <c r="N16" s="10" t="inlineStr">
        <is>
          <t>x</t>
        </is>
      </c>
      <c r="O16" s="10" t="n"/>
      <c r="P16" s="10" t="inlineStr">
        <is>
          <t>Disponibilidad (y Escalabilidad)</t>
        </is>
      </c>
      <c r="Q16" s="9" t="inlineStr">
        <is>
          <t>RNF: mantener el análisis actualizado, adaptarse al crecimiento y procesar nuevos eventos sin degradar la disponibilidad. RAS por atributo de calidad y operación: exige replicación, procesamiento sin parada y tolerancia a la caída de nodos.</t>
        </is>
      </c>
      <c r="R16" s="10" t="n"/>
    </row>
    <row r="17" ht="84.75" customHeight="1">
      <c r="A17" s="8" t="inlineStr">
        <is>
          <t>R12</t>
        </is>
      </c>
      <c r="B17" s="9" t="inlineStr">
        <is>
          <t>El sistema debe permitir extraer del datagrama de telemetría AMI el identificador del medidor (meter_id), el identificador del transformador al que está conectado (transformer_id), el timestamp de la medición (YYYY-MM-DD HH24:MI:SS), el voltaje RMS, la potencia activa, la energía acumulada en kWh y el código de evento o bandera de alarma.</t>
        </is>
      </c>
      <c r="C17" s="10" t="n"/>
      <c r="D17" s="10" t="inlineStr">
        <is>
          <t>x</t>
        </is>
      </c>
      <c r="E17" s="10" t="inlineStr">
        <is>
          <t>x</t>
        </is>
      </c>
      <c r="F17" s="10" t="n"/>
      <c r="G17" s="10" t="inlineStr">
        <is>
          <t>x</t>
        </is>
      </c>
      <c r="H17" s="10" t="inlineStr">
        <is>
          <t>x</t>
        </is>
      </c>
      <c r="I17" s="10" t="n"/>
      <c r="J17" s="8" t="inlineStr">
        <is>
          <t>Sí</t>
        </is>
      </c>
      <c r="K17" s="10" t="n"/>
      <c r="L17" s="10" t="n"/>
      <c r="M17" s="10" t="n"/>
      <c r="N17" s="10" t="n"/>
      <c r="O17" s="10" t="inlineStr">
        <is>
          <t>x</t>
        </is>
      </c>
      <c r="P17" s="10" t="inlineStr">
        <is>
          <t>Interoperabilidad (y Rendimiento)</t>
        </is>
      </c>
      <c r="Q17" s="9" t="inlineStr">
        <is>
          <t>RF: extraer siete campos del datagrama AMI. RAS por detalle técnico: el formato del datagrama y sus identificadores de estado estandarizados son un contrato externo que fija el esquema de datos; el parseo se ejecuta millones de veces al día.</t>
        </is>
      </c>
      <c r="R17" s="10" t="n"/>
    </row>
    <row r="18" ht="57.75" customHeight="1">
      <c r="A18" s="8" t="inlineStr">
        <is>
          <t>R13</t>
        </is>
      </c>
      <c r="B18" s="9" t="inlineStr">
        <is>
          <t>El sistema debe ser escalable horizontalmente en el procesamiento continuo de los eventos y datagramas que son emitidos diariamente por el parque de medidores inteligentes a medida que se incorporan nuevos usuarios a la red.</t>
        </is>
      </c>
      <c r="C18" s="10" t="inlineStr">
        <is>
          <t>x</t>
        </is>
      </c>
      <c r="D18" s="10" t="inlineStr">
        <is>
          <t>x</t>
        </is>
      </c>
      <c r="E18" s="10" t="inlineStr">
        <is>
          <t>x</t>
        </is>
      </c>
      <c r="F18" s="10" t="n"/>
      <c r="G18" s="10" t="inlineStr">
        <is>
          <t>x</t>
        </is>
      </c>
      <c r="H18" s="10" t="n"/>
      <c r="I18" s="10" t="inlineStr">
        <is>
          <t>x</t>
        </is>
      </c>
      <c r="J18" s="8" t="inlineStr">
        <is>
          <t>Sí</t>
        </is>
      </c>
      <c r="K18" s="10" t="n"/>
      <c r="L18" s="10" t="n"/>
      <c r="M18" s="10" t="inlineStr">
        <is>
          <t>x</t>
        </is>
      </c>
      <c r="N18" s="10" t="inlineStr">
        <is>
          <t>x</t>
        </is>
      </c>
      <c r="O18" s="10" t="n"/>
      <c r="P18" s="10" t="inlineStr">
        <is>
          <t>Escalabilidad (horizontal)</t>
        </is>
      </c>
      <c r="Q18" s="9" t="inlineStr">
        <is>
          <t>RNF: escalar horizontalmente de 800.000 a 2.000.000 de medidores. RAS por operación y despliegue: obliga a componentes sin estado, particionamiento y balanceo de carga.</t>
        </is>
      </c>
      <c r="R18" s="10" t="n"/>
    </row>
    <row r="19" ht="84.75" customHeight="1">
      <c r="A19" s="8" t="inlineStr">
        <is>
          <t>R14</t>
        </is>
      </c>
      <c r="B19" s="9" t="inlineStr">
        <is>
          <t>El sistema debe ofrecer servicios interoperables (APIs) que permitan a los ciudadanos, empresas usuarias y entes de regulación (como la CREG y la Superintendencia de Servicios Públicos) consultar información confiable sobre los índices de calidad y continuidad del servicio eléctrico en su zona, así como el historial de su perfil de consumo.</t>
        </is>
      </c>
      <c r="C19" s="10" t="n"/>
      <c r="D19" s="10" t="inlineStr">
        <is>
          <t>x</t>
        </is>
      </c>
      <c r="E19" s="10" t="inlineStr">
        <is>
          <t>x</t>
        </is>
      </c>
      <c r="F19" s="10" t="n"/>
      <c r="G19" s="10" t="inlineStr">
        <is>
          <t>x</t>
        </is>
      </c>
      <c r="H19" s="10" t="inlineStr">
        <is>
          <t>x</t>
        </is>
      </c>
      <c r="I19" s="10" t="n"/>
      <c r="J19" s="8" t="inlineStr">
        <is>
          <t>Sí</t>
        </is>
      </c>
      <c r="K19" s="10" t="inlineStr">
        <is>
          <t>x</t>
        </is>
      </c>
      <c r="L19" s="10" t="n"/>
      <c r="M19" s="10" t="n"/>
      <c r="N19" s="10" t="inlineStr">
        <is>
          <t>x</t>
        </is>
      </c>
      <c r="O19" s="10" t="inlineStr">
        <is>
          <t>x</t>
        </is>
      </c>
      <c r="P19" s="10" t="inlineStr">
        <is>
          <t>Interoperabilidad (y Seguridad)</t>
        </is>
      </c>
      <c r="Q19" s="9" t="inlineStr">
        <is>
          <t>RF: APIs de consulta para ciudadanos, empresas y entes de regulación (CREG, Superservicios). RAS por detalle técnico (APIs estándar, contratos con terceros), volatilidad (nuevos consumidores) y seguridad (acceso a datos de consumo personales).</t>
        </is>
      </c>
      <c r="R19" s="10" t="n"/>
    </row>
    <row r="20" ht="84.75" customHeight="1">
      <c r="A20" s="8" t="inlineStr">
        <is>
          <t>R15</t>
        </is>
      </c>
      <c r="B20" s="9" t="inlineStr">
        <is>
          <t>En la fase de análisis debe plantearse el diagrama de transición de estados tanto del ciclo de vida de los eventos de alarma eléctrica (registrado, notificado, en atención, normalizado) como de las sesiones de los operadores del COD. Estos diagramas deben revisarse y validarse formalmente con el cliente antes de pasar al diseño arquitectónico.</t>
        </is>
      </c>
      <c r="C20" s="10" t="n"/>
      <c r="D20" s="10" t="n"/>
      <c r="E20" s="10" t="inlineStr">
        <is>
          <t>x</t>
        </is>
      </c>
      <c r="F20" s="10" t="inlineStr">
        <is>
          <t>x</t>
        </is>
      </c>
      <c r="G20" s="10" t="n"/>
      <c r="H20" s="10" t="n"/>
      <c r="I20" s="10" t="n"/>
      <c r="J20" s="8" t="inlineStr">
        <is>
          <t>No</t>
        </is>
      </c>
      <c r="K20" s="10" t="n"/>
      <c r="L20" s="10" t="n"/>
      <c r="M20" s="10" t="n"/>
      <c r="N20" s="10" t="n"/>
      <c r="O20" s="10" t="n"/>
      <c r="P20" s="10" t="inlineStr">
        <is>
          <t>—</t>
        </is>
      </c>
      <c r="Q20" s="9" t="inlineStr">
        <is>
          <t>Requerimiento de PROCESO: exige elaborar y validar con el cliente los diagramas de transición de estados antes del diseño. No es RF ni RNF del producto; sus estados (registrado, notificado, en atención, normalizado; sesión) alimentan R1 y R10.</t>
        </is>
      </c>
      <c r="R20" s="10" t="n"/>
    </row>
    <row r="22" ht="15" customHeight="1">
      <c r="A22" s="8" t="inlineStr">
        <is>
          <t>Totales</t>
        </is>
      </c>
      <c r="B22" s="37" t="n"/>
      <c r="C22" s="8">
        <f>COUNTIF(C6:C20,"x")</f>
        <v/>
      </c>
      <c r="D22" s="8">
        <f>COUNTIF(D6:D20,"x")</f>
        <v/>
      </c>
      <c r="E22" s="8">
        <f>COUNTIF(E6:E20,"x")</f>
        <v/>
      </c>
      <c r="F22" s="8">
        <f>COUNTIF(F6:F20,"x")</f>
        <v/>
      </c>
      <c r="G22" s="8">
        <f>COUNTIF(G6:G20,"x")</f>
        <v/>
      </c>
      <c r="H22" s="8">
        <f>COUNTIF(H6:H20,"x")</f>
        <v/>
      </c>
      <c r="I22" s="8">
        <f>COUNTIF(I6:I20,"x")</f>
        <v/>
      </c>
      <c r="J22" s="8">
        <f>COUNTIF(J6:J20,"Sí")</f>
        <v/>
      </c>
      <c r="K22" s="8">
        <f>COUNTIF(K6:K20,"x")</f>
        <v/>
      </c>
      <c r="L22" s="8">
        <f>COUNTIF(L6:L20,"x")</f>
        <v/>
      </c>
      <c r="M22" s="8">
        <f>COUNTIF(M6:M20,"x")</f>
        <v/>
      </c>
      <c r="N22" s="8">
        <f>COUNTIF(N6:N20,"x")</f>
        <v/>
      </c>
      <c r="O22" s="8">
        <f>COUNTIF(O6:O20,"x")</f>
        <v/>
      </c>
    </row>
    <row r="24" ht="25.5" customHeight="1">
      <c r="A24" s="4" t="inlineStr">
        <is>
          <t>Convenciones: Hw = Hardware, Red = Redes, Sw = Software. Un requerimiento puede involucrar más de un pilar. Proceso = cómo se desarrolla; Producto = qué hace o cómo se comporta el sistema (RF/RNF).</t>
        </is>
      </c>
    </row>
    <row r="25" ht="25.5" customHeight="1">
      <c r="A25" s="4" t="inlineStr">
        <is>
          <t>Proceso vs. Producto: R5 (notación UML 2.5) y R15 (validar diagramas de estados con el cliente) son requerimientos de proceso de desarrollo; no se clasifican como RF/RNF del producto y no son RAS.</t>
        </is>
      </c>
    </row>
    <row r="26" ht="25.5" customHeight="1">
      <c r="A26" s="4" t="inlineStr">
        <is>
          <t>R2 es la restricción ergonómica de hardware (botones físicos engomados, guantes dieléctricos, lluvia): se clasifica como RNF y es RAS por detalle técnico/atributo de calidad (usabilidad).</t>
        </is>
      </c>
    </row>
    <row r="27" ht="25.5" customHeight="1">
      <c r="A27" s="4" t="inlineStr">
        <is>
          <t>RAS = Requerimiento Arquitectónicamente Significativo. Orígenes: Vol Fun (volatilidad funcional), Flia Prd (familia de productos), Op&amp;Dep (operación y despliegue), Atr Cal (atributos de calidad), Det Tec (detalles técnicos). Atributos según Bass/SEI.</t>
        </is>
      </c>
    </row>
    <row r="28" ht="25.5" customHeight="1">
      <c r="A28" s="4" t="inlineStr">
        <is>
          <t>Requerimientos compuestos: R1, R4, R6 y R14 mezclan funcionalidad con exigencias de calidad; se clasifican por su naturaleza principal (RF) y la exigencia de calidad se registra como RAS y atributo. R11 es RNF porque lo determinante es la disponibilidad y la adaptación al crecimiento.</t>
        </is>
      </c>
    </row>
  </sheetData>
  <mergeCells count="12">
    <mergeCell ref="A26:R26"/>
    <mergeCell ref="F4:G4"/>
    <mergeCell ref="A25:R25"/>
    <mergeCell ref="A24:R24"/>
    <mergeCell ref="A2:R2"/>
    <mergeCell ref="A28:R28"/>
    <mergeCell ref="C4:E4"/>
    <mergeCell ref="A1:R1"/>
    <mergeCell ref="H4:I4"/>
    <mergeCell ref="A27:R27"/>
    <mergeCell ref="K4:O4"/>
    <mergeCell ref="A22:B22"/>
  </mergeCells>
  <pageMargins left="0.75" right="0.75" top="1" bottom="1" header="0.511811023622047" footer="0.511811023622047"/>
  <pageSetup orientation="landscape" paperSize="9" fitToHeight="0" fitToWidth="1" horizontalDpi="300" verticalDpi="300"/>
</worksheet>
</file>

<file path=xl/worksheets/sheet2.xml><?xml version="1.0" encoding="utf-8"?>
<worksheet xmlns="http://schemas.openxmlformats.org/spreadsheetml/2006/main">
  <sheetPr>
    <outlinePr summaryBelow="1" summaryRight="1"/>
    <pageSetUpPr fitToPage="1"/>
  </sheetPr>
  <dimension ref="A1:L57"/>
  <sheetViews>
    <sheetView zoomScaleNormal="100" workbookViewId="0">
      <pane xSplit="2" ySplit="4" topLeftCell="C36" activePane="bottomRight" state="frozen"/>
      <selection pane="topRight" activeCell="C1" sqref="C1"/>
      <selection pane="bottomLeft" activeCell="A5" sqref="A5"/>
      <selection pane="bottomRight" activeCell="H40" sqref="H40"/>
    </sheetView>
  </sheetViews>
  <sheetFormatPr baseColWidth="10" defaultColWidth="8.6640625" defaultRowHeight="14.4"/>
  <cols>
    <col width="8" customWidth="1" min="1" max="1"/>
    <col width="17" bestFit="1" customWidth="1" min="2" max="2"/>
    <col width="55" customWidth="1" min="3" max="3"/>
    <col width="30" customWidth="1" min="4" max="4"/>
    <col width="18" customWidth="1" min="5" max="5"/>
    <col width="9" customWidth="1" min="6" max="6"/>
    <col width="14" customWidth="1" min="7" max="7"/>
    <col width="42" customWidth="1" min="8" max="8"/>
    <col width="34" customWidth="1" min="9" max="9"/>
    <col width="12" customWidth="1" min="10" max="11"/>
    <col width="30" customWidth="1" min="12" max="12"/>
  </cols>
  <sheetData>
    <row r="1" ht="21.75" customHeight="1">
      <c r="A1" s="7" t="n"/>
    </row>
    <row r="2">
      <c r="A2" s="6" t="n"/>
    </row>
    <row r="4" ht="36" customFormat="1" customHeight="1" s="16">
      <c r="A4" s="33" t="inlineStr">
        <is>
          <t>Orden</t>
        </is>
      </c>
      <c r="B4" s="33" t="inlineStr">
        <is>
          <t>ID RF</t>
        </is>
      </c>
      <c r="C4" s="33" t="inlineStr">
        <is>
          <t>Requerimiento funcional</t>
        </is>
      </c>
      <c r="D4" s="33" t="inlineStr">
        <is>
          <t>Dominio (Agrupar)</t>
        </is>
      </c>
      <c r="E4" s="33" t="inlineStr">
        <is>
          <t>Jerarquía</t>
        </is>
      </c>
      <c r="F4" s="33" t="inlineStr">
        <is>
          <t>RF padre</t>
        </is>
      </c>
      <c r="G4" s="33" t="inlineStr">
        <is>
          <t>Tipo de sub-requerimiento</t>
        </is>
      </c>
      <c r="H4" s="33" t="inlineStr">
        <is>
          <t>Precondición / dependencia (Ordenar)</t>
        </is>
      </c>
      <c r="I4" s="33" t="inlineStr">
        <is>
          <t>Caso de uso (CUC)</t>
        </is>
      </c>
      <c r="J4" s="33" t="inlineStr">
        <is>
          <t>Req. origen (enunciado)</t>
        </is>
      </c>
      <c r="K4" s="33" t="inlineStr">
        <is>
          <t>Origen en el texto</t>
        </is>
      </c>
      <c r="L4" s="33" t="inlineStr">
        <is>
          <t>ID en el CUC (literal A)</t>
        </is>
      </c>
    </row>
    <row r="5" ht="44.25" customFormat="1" customHeight="1" s="28">
      <c r="A5" s="25" t="inlineStr">
        <is>
          <t>F1.1</t>
        </is>
      </c>
      <c r="B5" s="26" t="inlineStr">
        <is>
          <t>R6.1</t>
        </is>
      </c>
      <c r="C5" s="27" t="inlineStr">
        <is>
          <t>El sistema debe recibir los datagramas de telemetría AMI emitidos por los medidores inteligentes y macromedidores (15–25 millones diarios; cada 30 o 60 s por medidor).</t>
        </is>
      </c>
      <c r="D5" s="27" t="inlineStr">
        <is>
          <t>D1 Ingesta y Telemetría AMI</t>
        </is>
      </c>
      <c r="E5" s="26" t="inlineStr">
        <is>
          <t>Macro-requerimiento</t>
        </is>
      </c>
      <c r="F5" s="25" t="inlineStr">
        <is>
          <t>—</t>
        </is>
      </c>
      <c r="G5" s="25" t="inlineStr">
        <is>
          <t>—</t>
        </is>
      </c>
      <c r="H5" s="27" t="inlineStr">
        <is>
          <t>Medidor o macromedidor transmite por NB-IoT/4G o RF Mesh</t>
        </is>
      </c>
      <c r="I5" s="27" t="inlineStr">
        <is>
          <t>Ingestar datagramas AMI</t>
        </is>
      </c>
      <c r="J5" s="25" t="inlineStr">
        <is>
          <t>R6</t>
        </is>
      </c>
      <c r="K5" s="25" t="inlineStr">
        <is>
          <t>Explícito</t>
        </is>
      </c>
      <c r="L5" s="25" t="inlineStr">
        <is>
          <t>CU-12</t>
        </is>
      </c>
    </row>
    <row r="6" ht="44.25" customHeight="1">
      <c r="A6" s="10" t="inlineStr">
        <is>
          <t>F1.2</t>
        </is>
      </c>
      <c r="B6" s="8" t="inlineStr">
        <is>
          <t>R12.1</t>
        </is>
      </c>
      <c r="C6" s="9" t="inlineStr">
        <is>
          <t>El sistema debe extraer del datagrama meter_id, transformer_id, timestamp, voltaje RMS, potencia activa, energía acumulada (kWh) y código de evento o bandera de alarma.</t>
        </is>
      </c>
      <c r="D6" s="9" t="inlineStr">
        <is>
          <t>D1 Ingesta y Telemetría AMI</t>
        </is>
      </c>
      <c r="E6" s="10" t="inlineStr">
        <is>
          <t>Sub-requerimiento</t>
        </is>
      </c>
      <c r="F6" s="10" t="inlineStr">
        <is>
          <t>R6.1</t>
        </is>
      </c>
      <c r="G6" s="10" t="inlineStr">
        <is>
          <t>Obligatorio</t>
        </is>
      </c>
      <c r="H6" s="9" t="inlineStr">
        <is>
          <t>Datagrama recibido (R6.1)</t>
        </is>
      </c>
      <c r="I6" s="9" t="inlineStr">
        <is>
          <t>Extraer campos del datagrama</t>
        </is>
      </c>
      <c r="J6" s="10" t="inlineStr">
        <is>
          <t>R12</t>
        </is>
      </c>
      <c r="K6" s="10" t="inlineStr">
        <is>
          <t>Explícito</t>
        </is>
      </c>
      <c r="L6" s="10" t="inlineStr">
        <is>
          <t>CU-13</t>
        </is>
      </c>
    </row>
    <row r="7" ht="30.75" customHeight="1">
      <c r="A7" s="10" t="inlineStr">
        <is>
          <t>F1.3</t>
        </is>
      </c>
      <c r="B7" s="8" t="inlineStr">
        <is>
          <t>R6.2</t>
        </is>
      </c>
      <c r="C7" s="9" t="inlineStr">
        <is>
          <t>El sistema debe persistir en base de datos las lecturas y eventos extraídos de cada datagrama.</t>
        </is>
      </c>
      <c r="D7" s="9" t="inlineStr">
        <is>
          <t>D1 Ingesta y Telemetría AMI</t>
        </is>
      </c>
      <c r="E7" s="10" t="inlineStr">
        <is>
          <t>Sub-requerimiento</t>
        </is>
      </c>
      <c r="F7" s="10" t="inlineStr">
        <is>
          <t>R6.1</t>
        </is>
      </c>
      <c r="G7" s="10" t="inlineStr">
        <is>
          <t>Obligatorio</t>
        </is>
      </c>
      <c r="H7" s="9" t="inlineStr">
        <is>
          <t>Campos extraídos (R12.1)</t>
        </is>
      </c>
      <c r="I7" s="9" t="inlineStr">
        <is>
          <t>Persistir telemetría</t>
        </is>
      </c>
      <c r="J7" s="10" t="inlineStr">
        <is>
          <t>R6</t>
        </is>
      </c>
      <c r="K7" s="10" t="inlineStr">
        <is>
          <t>Explícito</t>
        </is>
      </c>
      <c r="L7" s="10" t="inlineStr">
        <is>
          <t>CU-14</t>
        </is>
      </c>
    </row>
    <row r="8" ht="44.25" customHeight="1">
      <c r="A8" s="10" t="inlineStr">
        <is>
          <t>F1.4</t>
        </is>
      </c>
      <c r="B8" s="8" t="inlineStr">
        <is>
          <t>R6.3</t>
        </is>
      </c>
      <c r="C8" s="9" t="inlineStr">
        <is>
          <t>El sistema debe combinar la información histórica con los datos recibidos en tiempo real para su consulta y análisis.</t>
        </is>
      </c>
      <c r="D8" s="9" t="inlineStr">
        <is>
          <t>D1 Ingesta y Telemetría AMI</t>
        </is>
      </c>
      <c r="E8" s="10" t="inlineStr">
        <is>
          <t>Sub-requerimiento</t>
        </is>
      </c>
      <c r="F8" s="10" t="inlineStr">
        <is>
          <t>R6.1</t>
        </is>
      </c>
      <c r="G8" s="10" t="inlineStr">
        <is>
          <t>Condicional</t>
        </is>
      </c>
      <c r="H8" s="9" t="inlineStr">
        <is>
          <t>Una vista (R4) o un análisis (R7) solicita histórico y tiempo real</t>
        </is>
      </c>
      <c r="I8" s="9" t="inlineStr">
        <is>
          <t>Combinar histórico y tiempo real</t>
        </is>
      </c>
      <c r="J8" s="10" t="inlineStr">
        <is>
          <t>R6</t>
        </is>
      </c>
      <c r="K8" s="10" t="inlineStr">
        <is>
          <t>Explícito</t>
        </is>
      </c>
      <c r="L8" s="10" t="inlineStr">
        <is>
          <t>CU-15</t>
        </is>
      </c>
    </row>
    <row r="9" ht="57.75" customFormat="1" customHeight="1" s="28">
      <c r="A9" s="25" t="inlineStr">
        <is>
          <t>F1.5</t>
        </is>
      </c>
      <c r="B9" s="26" t="inlineStr">
        <is>
          <t>R1.1</t>
        </is>
      </c>
      <c r="C9" s="27" t="inlineStr">
        <is>
          <t>El sistema debe detectar y categorizar automáticamente los eventos de la red (sobretensión, caída de voltaje, corte intempestivo, alarma de tamper) a partir del código de evento del datagrama.</t>
        </is>
      </c>
      <c r="D9" s="27" t="inlineStr">
        <is>
          <t>D2 Gestión de Eventos y Alarmas</t>
        </is>
      </c>
      <c r="E9" s="26" t="inlineStr">
        <is>
          <t>Macro-requerimiento</t>
        </is>
      </c>
      <c r="F9" s="25" t="inlineStr">
        <is>
          <t>—</t>
        </is>
      </c>
      <c r="G9" s="25" t="inlineStr">
        <is>
          <t>—</t>
        </is>
      </c>
      <c r="H9" s="27" t="inlineStr">
        <is>
          <t>Campos extraídos con código de evento distinto de normal (R12.1)</t>
        </is>
      </c>
      <c r="I9" s="27" t="inlineStr">
        <is>
          <t>Clasificar evento de red</t>
        </is>
      </c>
      <c r="J9" s="25" t="inlineStr">
        <is>
          <t>R1</t>
        </is>
      </c>
      <c r="K9" s="25" t="inlineStr">
        <is>
          <t>Explícito</t>
        </is>
      </c>
      <c r="L9" s="25" t="inlineStr">
        <is>
          <t>CU-16</t>
        </is>
      </c>
    </row>
    <row r="10" ht="30.75" customHeight="1">
      <c r="A10" s="10" t="inlineStr">
        <is>
          <t>F1.5</t>
        </is>
      </c>
      <c r="B10" s="8" t="inlineStr">
        <is>
          <t>R1.2</t>
        </is>
      </c>
      <c r="C10" s="9" t="inlineStr">
        <is>
          <t>El sistema debe asignar una prioridad de atención a cada evento categorizado.</t>
        </is>
      </c>
      <c r="D10" s="9" t="inlineStr">
        <is>
          <t>D2 Gestión de Eventos y Alarmas</t>
        </is>
      </c>
      <c r="E10" s="10" t="inlineStr">
        <is>
          <t>Sub-requerimiento</t>
        </is>
      </c>
      <c r="F10" s="10" t="inlineStr">
        <is>
          <t>R1.1</t>
        </is>
      </c>
      <c r="G10" s="10" t="inlineStr">
        <is>
          <t>Obligatorio</t>
        </is>
      </c>
      <c r="H10" s="9" t="inlineStr">
        <is>
          <t>Evento categorizado (R1.1)</t>
        </is>
      </c>
      <c r="I10" s="9" t="inlineStr">
        <is>
          <t>Asignar prioridad</t>
        </is>
      </c>
      <c r="J10" s="10" t="inlineStr">
        <is>
          <t>R1</t>
        </is>
      </c>
      <c r="K10" s="10" t="inlineStr">
        <is>
          <t>Explícito</t>
        </is>
      </c>
      <c r="L10" s="10" t="inlineStr">
        <is>
          <t>CU-16</t>
        </is>
      </c>
    </row>
    <row r="11" ht="44.25" customHeight="1">
      <c r="A11" s="10" t="inlineStr">
        <is>
          <t>F1.6</t>
        </is>
      </c>
      <c r="B11" s="8" t="inlineStr">
        <is>
          <t>R1.3</t>
        </is>
      </c>
      <c r="C11" s="9" t="inlineStr">
        <is>
          <t>El sistema debe registrar cada evento con su estado de ciclo de vida (registrado, notificado, en atención, normalizado).</t>
        </is>
      </c>
      <c r="D11" s="9" t="inlineStr">
        <is>
          <t>D2 Gestión de Eventos y Alarmas</t>
        </is>
      </c>
      <c r="E11" s="10" t="inlineStr">
        <is>
          <t>Sub-requerimiento</t>
        </is>
      </c>
      <c r="F11" s="10" t="inlineStr">
        <is>
          <t>R1.1</t>
        </is>
      </c>
      <c r="G11" s="10" t="inlineStr">
        <is>
          <t>Obligatorio</t>
        </is>
      </c>
      <c r="H11" s="9" t="inlineStr">
        <is>
          <t>Evento con categoría y prioridad (R1.2)</t>
        </is>
      </c>
      <c r="I11" s="9" t="inlineStr">
        <is>
          <t>Registrar evento</t>
        </is>
      </c>
      <c r="J11" s="10" t="inlineStr">
        <is>
          <t>R1, R15</t>
        </is>
      </c>
      <c r="K11" s="11" t="inlineStr">
        <is>
          <t>Implícito</t>
        </is>
      </c>
      <c r="L11" s="11" t="inlineStr">
        <is>
          <t>— (estado «Registrado», diagrama de estados del evento)</t>
        </is>
      </c>
    </row>
    <row r="12" ht="30.75" customHeight="1">
      <c r="A12" s="10" t="inlineStr">
        <is>
          <t>F1.7</t>
        </is>
      </c>
      <c r="B12" s="8" t="inlineStr">
        <is>
          <t>R1.4</t>
        </is>
      </c>
      <c r="C12" s="9" t="inlineStr">
        <is>
          <t>El sistema debe notificar al operador del COD los eventos registrados (estado «notificado»).</t>
        </is>
      </c>
      <c r="D12" s="9" t="inlineStr">
        <is>
          <t>D2 Gestión de Eventos y Alarmas</t>
        </is>
      </c>
      <c r="E12" s="10" t="inlineStr">
        <is>
          <t>Sub-requerimiento</t>
        </is>
      </c>
      <c r="F12" s="10" t="inlineStr">
        <is>
          <t>R1.1</t>
        </is>
      </c>
      <c r="G12" s="10" t="inlineStr">
        <is>
          <t>Condicional</t>
        </is>
      </c>
      <c r="H12" s="9" t="inlineStr">
        <is>
          <t>Evento registrado (R1.3) y prioridad que amerita atención</t>
        </is>
      </c>
      <c r="I12" s="9" t="inlineStr">
        <is>
          <t>Notificar al operador</t>
        </is>
      </c>
      <c r="J12" s="10" t="inlineStr">
        <is>
          <t>R1, R15</t>
        </is>
      </c>
      <c r="K12" s="11" t="inlineStr">
        <is>
          <t>Implícito</t>
        </is>
      </c>
      <c r="L12" s="11" t="inlineStr">
        <is>
          <t>— (estado «Notificado», diagrama de estados del evento)</t>
        </is>
      </c>
    </row>
    <row r="13" ht="30.75" customHeight="1">
      <c r="A13" s="10" t="inlineStr">
        <is>
          <t>F1.8</t>
        </is>
      </c>
      <c r="B13" s="8" t="inlineStr">
        <is>
          <t>R1.5</t>
        </is>
      </c>
      <c r="C13" s="9" t="inlineStr">
        <is>
          <t>El sistema debe permitir tomar un evento en atención y marcarlo como normalizado.</t>
        </is>
      </c>
      <c r="D13" s="9" t="inlineStr">
        <is>
          <t>D2 Gestión de Eventos y Alarmas</t>
        </is>
      </c>
      <c r="E13" s="10" t="inlineStr">
        <is>
          <t>Sub-requerimiento</t>
        </is>
      </c>
      <c r="F13" s="10" t="inlineStr">
        <is>
          <t>R1.1</t>
        </is>
      </c>
      <c r="G13" s="10" t="inlineStr">
        <is>
          <t>Condicional</t>
        </is>
      </c>
      <c r="H13" s="9" t="inlineStr">
        <is>
          <t>Evento notificado (R1.4); operador o despachador lo toma</t>
        </is>
      </c>
      <c r="I13" s="9" t="inlineStr">
        <is>
          <t>Gestionar atención del evento</t>
        </is>
      </c>
      <c r="J13" s="10" t="inlineStr">
        <is>
          <t>R1, R15</t>
        </is>
      </c>
      <c r="K13" s="11" t="inlineStr">
        <is>
          <t>Implícito</t>
        </is>
      </c>
      <c r="L13" s="11" t="inlineStr">
        <is>
          <t>— (estados «En atención» y «Normalizado», diagrama de estados del evento)</t>
        </is>
      </c>
    </row>
    <row r="14" ht="30.75" customFormat="1" customHeight="1" s="28">
      <c r="A14" s="25" t="inlineStr">
        <is>
          <t>F2.1</t>
        </is>
      </c>
      <c r="B14" s="26" t="inlineStr">
        <is>
          <t>R1.6</t>
        </is>
      </c>
      <c r="C14" s="27" t="inlineStr">
        <is>
          <t>El sistema debe permitir parametrizar el catálogo de eventos operativos de campo con su categoría y prioridad.</t>
        </is>
      </c>
      <c r="D14" s="27" t="inlineStr">
        <is>
          <t>D2 Gestión de Eventos y Alarmas</t>
        </is>
      </c>
      <c r="E14" s="26" t="inlineStr">
        <is>
          <t>Macro-requerimiento</t>
        </is>
      </c>
      <c r="F14" s="25" t="inlineStr">
        <is>
          <t>—</t>
        </is>
      </c>
      <c r="G14" s="25" t="inlineStr">
        <is>
          <t>—</t>
        </is>
      </c>
      <c r="H14" s="27" t="inlineStr">
        <is>
          <t>Administrador autenticado con permiso (R3.4)</t>
        </is>
      </c>
      <c r="I14" s="27" t="inlineStr">
        <is>
          <t>Parametrizar catálogo de eventos</t>
        </is>
      </c>
      <c r="J14" s="25" t="inlineStr">
        <is>
          <t>R1</t>
        </is>
      </c>
      <c r="K14" s="29" t="inlineStr">
        <is>
          <t>Implícito</t>
        </is>
      </c>
      <c r="L14" s="29" t="inlineStr">
        <is>
          <t>— (fuera del alcance del CUC de R4/R7)</t>
        </is>
      </c>
    </row>
    <row r="15" ht="71.25" customFormat="1" customHeight="1" s="28">
      <c r="A15" s="25" t="inlineStr">
        <is>
          <t>F2.2</t>
        </is>
      </c>
      <c r="B15" s="26" t="inlineStr">
        <is>
          <t>R1.7</t>
        </is>
      </c>
      <c r="C15" s="27" t="inlineStr">
        <is>
          <t>El sistema debe permitir al técnico de cuadrilla reportar un evento operativo de campo desde el menú de la terminal móvil (p. ej. fusible primario fundido, aceite dieléctrico degradado, acometida adulterada, transformador sobrecargado).</t>
        </is>
      </c>
      <c r="D15" s="27" t="inlineStr">
        <is>
          <t>D3 Operación de Campo</t>
        </is>
      </c>
      <c r="E15" s="26" t="inlineStr">
        <is>
          <t>Macro-requerimiento</t>
        </is>
      </c>
      <c r="F15" s="25" t="inlineStr">
        <is>
          <t>—</t>
        </is>
      </c>
      <c r="G15" s="25" t="inlineStr">
        <is>
          <t>—</t>
        </is>
      </c>
      <c r="H15" s="27" t="inlineStr">
        <is>
          <t>Catálogo parametrizado disponible (R1.6)</t>
        </is>
      </c>
      <c r="I15" s="27" t="inlineStr">
        <is>
          <t>Reportar evento de campo</t>
        </is>
      </c>
      <c r="J15" s="25" t="inlineStr">
        <is>
          <t>R1</t>
        </is>
      </c>
      <c r="K15" s="25" t="inlineStr">
        <is>
          <t>Explícito</t>
        </is>
      </c>
      <c r="L15" s="25" t="inlineStr">
        <is>
          <t>CU-17</t>
        </is>
      </c>
    </row>
    <row r="16" ht="44.25" customHeight="1">
      <c r="A16" s="10" t="inlineStr">
        <is>
          <t>F2.3</t>
        </is>
      </c>
      <c r="B16" s="8" t="inlineStr">
        <is>
          <t>R1.8</t>
        </is>
      </c>
      <c r="C16" s="9" t="inlineStr">
        <is>
          <t>El sistema debe aplicar al evento reportado en campo la categoría y prioridad parametrizadas y enviarlo para su registro.</t>
        </is>
      </c>
      <c r="D16" s="9" t="inlineStr">
        <is>
          <t>D3 Operación de Campo</t>
        </is>
      </c>
      <c r="E16" s="10" t="inlineStr">
        <is>
          <t>Sub-requerimiento</t>
        </is>
      </c>
      <c r="F16" s="10" t="inlineStr">
        <is>
          <t>R1.7</t>
        </is>
      </c>
      <c r="G16" s="10" t="inlineStr">
        <is>
          <t>Obligatorio</t>
        </is>
      </c>
      <c r="H16" s="9" t="inlineStr">
        <is>
          <t>Evento seleccionado en el menú (R1.7)</t>
        </is>
      </c>
      <c r="I16" s="9" t="inlineStr">
        <is>
          <t>Aplicar categoría y prioridad</t>
        </is>
      </c>
      <c r="J16" s="10" t="inlineStr">
        <is>
          <t>R1</t>
        </is>
      </c>
      <c r="K16" s="10" t="inlineStr">
        <is>
          <t>Explícito</t>
        </is>
      </c>
      <c r="L16" s="10" t="inlineStr">
        <is>
          <t>CU-18</t>
        </is>
      </c>
    </row>
    <row r="17" ht="44.25" customFormat="1" customHeight="1" s="28">
      <c r="A17" s="25" t="inlineStr">
        <is>
          <t>F3.1</t>
        </is>
      </c>
      <c r="B17" s="26" t="inlineStr">
        <is>
          <t>R3.1</t>
        </is>
      </c>
      <c r="C17" s="27" t="inlineStr">
        <is>
          <t>El sistema debe permitir administrar usuarios (operadores del COD, ingenieros de calidad de energía, despachadores de cuadrillas, administradores).</t>
        </is>
      </c>
      <c r="D17" s="27" t="inlineStr">
        <is>
          <t>D6 Administración y Seguridad</t>
        </is>
      </c>
      <c r="E17" s="26" t="inlineStr">
        <is>
          <t>Macro-requerimiento</t>
        </is>
      </c>
      <c r="F17" s="25" t="inlineStr">
        <is>
          <t>—</t>
        </is>
      </c>
      <c r="G17" s="25" t="inlineStr">
        <is>
          <t>—</t>
        </is>
      </c>
      <c r="H17" s="27" t="inlineStr">
        <is>
          <t>Administrador autenticado</t>
        </is>
      </c>
      <c r="I17" s="27" t="inlineStr">
        <is>
          <t>Administrar usuarios</t>
        </is>
      </c>
      <c r="J17" s="25" t="inlineStr">
        <is>
          <t>R3</t>
        </is>
      </c>
      <c r="K17" s="25" t="inlineStr">
        <is>
          <t>Explícito</t>
        </is>
      </c>
      <c r="L17" s="25" t="inlineStr">
        <is>
          <t>— (fuera del alcance del CUC de R4/R7)</t>
        </is>
      </c>
    </row>
    <row r="18" ht="30.75" customHeight="1">
      <c r="A18" s="10" t="inlineStr">
        <is>
          <t>F3.1</t>
        </is>
      </c>
      <c r="B18" s="8" t="inlineStr">
        <is>
          <t>R3.2</t>
        </is>
      </c>
      <c r="C18" s="9" t="inlineStr">
        <is>
          <t>El sistema debe permitir administrar los roles de los usuarios.</t>
        </is>
      </c>
      <c r="D18" s="9" t="inlineStr">
        <is>
          <t>D6 Administración y Seguridad</t>
        </is>
      </c>
      <c r="E18" s="10" t="inlineStr">
        <is>
          <t>Sub-requerimiento</t>
        </is>
      </c>
      <c r="F18" s="10" t="inlineStr">
        <is>
          <t>R3.1</t>
        </is>
      </c>
      <c r="G18" s="10" t="inlineStr">
        <is>
          <t>Obligatorio</t>
        </is>
      </c>
      <c r="H18" s="9" t="inlineStr">
        <is>
          <t>Usuario creado o en edición (R3.1)</t>
        </is>
      </c>
      <c r="I18" s="9" t="inlineStr">
        <is>
          <t>Administrar roles</t>
        </is>
      </c>
      <c r="J18" s="10" t="inlineStr">
        <is>
          <t>R3</t>
        </is>
      </c>
      <c r="K18" s="10" t="inlineStr">
        <is>
          <t>Explícito</t>
        </is>
      </c>
      <c r="L18" s="10" t="inlineStr">
        <is>
          <t>— (fuera del alcance del CUC de R4/R7)</t>
        </is>
      </c>
    </row>
    <row r="19" ht="30.75" customHeight="1">
      <c r="A19" s="10" t="inlineStr">
        <is>
          <t>F3.1</t>
        </is>
      </c>
      <c r="B19" s="8" t="inlineStr">
        <is>
          <t>R3.3</t>
        </is>
      </c>
      <c r="C19" s="9" t="inlineStr">
        <is>
          <t>El sistema debe permitir administrar los permisos asociados a cada rol.</t>
        </is>
      </c>
      <c r="D19" s="9" t="inlineStr">
        <is>
          <t>D6 Administración y Seguridad</t>
        </is>
      </c>
      <c r="E19" s="10" t="inlineStr">
        <is>
          <t>Sub-requerimiento</t>
        </is>
      </c>
      <c r="F19" s="10" t="inlineStr">
        <is>
          <t>R3.1</t>
        </is>
      </c>
      <c r="G19" s="10" t="inlineStr">
        <is>
          <t>Obligatorio</t>
        </is>
      </c>
      <c r="H19" s="9" t="inlineStr">
        <is>
          <t>Rol definido (R3.2)</t>
        </is>
      </c>
      <c r="I19" s="9" t="inlineStr">
        <is>
          <t>Administrar permisos</t>
        </is>
      </c>
      <c r="J19" s="10" t="inlineStr">
        <is>
          <t>R3</t>
        </is>
      </c>
      <c r="K19" s="10" t="inlineStr">
        <is>
          <t>Explícito</t>
        </is>
      </c>
      <c r="L19" s="10" t="inlineStr">
        <is>
          <t>— (fuera del alcance del CUC de R4/R7)</t>
        </is>
      </c>
    </row>
    <row r="20" ht="44.25" customFormat="1" customHeight="1" s="28">
      <c r="A20" s="25" t="inlineStr">
        <is>
          <t>F3.2</t>
        </is>
      </c>
      <c r="B20" s="26" t="inlineStr">
        <is>
          <t>R10.1</t>
        </is>
      </c>
      <c r="C20" s="27" t="inlineStr">
        <is>
          <t>El sistema debe permitir a operadores de despacho, analistas de pérdidas y administradores iniciar sesión de manera autenticada y segura.</t>
        </is>
      </c>
      <c r="D20" s="27" t="inlineStr">
        <is>
          <t>D6 Administración y Seguridad</t>
        </is>
      </c>
      <c r="E20" s="26" t="inlineStr">
        <is>
          <t>Macro-requerimiento</t>
        </is>
      </c>
      <c r="F20" s="25" t="inlineStr">
        <is>
          <t>—</t>
        </is>
      </c>
      <c r="G20" s="25" t="inlineStr">
        <is>
          <t>—</t>
        </is>
      </c>
      <c r="H20" s="27" t="inlineStr">
        <is>
          <t>Usuario registrado con rol asignado (R3.1, R3.2)</t>
        </is>
      </c>
      <c r="I20" s="27" t="inlineStr">
        <is>
          <t>Iniciar sesión</t>
        </is>
      </c>
      <c r="J20" s="25" t="inlineStr">
        <is>
          <t>R10</t>
        </is>
      </c>
      <c r="K20" s="25" t="inlineStr">
        <is>
          <t>Explícito</t>
        </is>
      </c>
      <c r="L20" s="25" t="inlineStr">
        <is>
          <t>CU-19</t>
        </is>
      </c>
    </row>
    <row r="21" ht="30.75" customHeight="1">
      <c r="A21" s="10" t="inlineStr">
        <is>
          <t>F3.2</t>
        </is>
      </c>
      <c r="B21" s="8" t="inlineStr">
        <is>
          <t>R3.4</t>
        </is>
      </c>
      <c r="C21" s="9" t="inlineStr">
        <is>
          <t>El sistema debe autorizar el acceso a cada función según el rol y los permisos del usuario autenticado.</t>
        </is>
      </c>
      <c r="D21" s="9" t="inlineStr">
        <is>
          <t>D6 Administración y Seguridad</t>
        </is>
      </c>
      <c r="E21" s="10" t="inlineStr">
        <is>
          <t>Sub-requerimiento</t>
        </is>
      </c>
      <c r="F21" s="10" t="inlineStr">
        <is>
          <t>R10.1</t>
        </is>
      </c>
      <c r="G21" s="10" t="inlineStr">
        <is>
          <t>Obligatorio</t>
        </is>
      </c>
      <c r="H21" s="9" t="inlineStr">
        <is>
          <t>Sesión iniciada (R10.1) y permisos definidos (R3.3)</t>
        </is>
      </c>
      <c r="I21" s="9" t="inlineStr">
        <is>
          <t>Autorizar acceso por rol</t>
        </is>
      </c>
      <c r="J21" s="10" t="inlineStr">
        <is>
          <t>R3</t>
        </is>
      </c>
      <c r="K21" s="11" t="inlineStr">
        <is>
          <t>Implícito</t>
        </is>
      </c>
      <c r="L21" s="11" t="inlineStr">
        <is>
          <t>— (precondición de CU-01 y CU-06 en la bicolumnar)</t>
        </is>
      </c>
    </row>
    <row r="22" ht="44.25" customHeight="1">
      <c r="A22" s="10" t="inlineStr">
        <is>
          <t>F3.2</t>
        </is>
      </c>
      <c r="B22" s="8" t="inlineStr">
        <is>
          <t>R10.3</t>
        </is>
      </c>
      <c r="C22" s="9" t="inlineStr">
        <is>
          <t>El sistema debe registrar el estado de la sesión del operador (iniciada, activa, cerrada) durante su ciclo de vida.</t>
        </is>
      </c>
      <c r="D22" s="9" t="inlineStr">
        <is>
          <t>D6 Administración y Seguridad</t>
        </is>
      </c>
      <c r="E22" s="10" t="inlineStr">
        <is>
          <t>Sub-requerimiento</t>
        </is>
      </c>
      <c r="F22" s="10" t="inlineStr">
        <is>
          <t>R10.1</t>
        </is>
      </c>
      <c r="G22" s="10" t="inlineStr">
        <is>
          <t>Obligatorio</t>
        </is>
      </c>
      <c r="H22" s="9" t="inlineStr">
        <is>
          <t>Sesión iniciada (R10.1)</t>
        </is>
      </c>
      <c r="I22" s="9" t="inlineStr">
        <is>
          <t>Registrar estado de sesión</t>
        </is>
      </c>
      <c r="J22" s="10" t="inlineStr">
        <is>
          <t>R10, R15</t>
        </is>
      </c>
      <c r="K22" s="11" t="inlineStr">
        <is>
          <t>Implícito</t>
        </is>
      </c>
      <c r="L22" s="11" t="inlineStr">
        <is>
          <t>— (diagrama de estados de la sesión)</t>
        </is>
      </c>
    </row>
    <row r="23" ht="30.75" customHeight="1">
      <c r="A23" s="10" t="inlineStr">
        <is>
          <t>F3.3</t>
        </is>
      </c>
      <c r="B23" s="8" t="inlineStr">
        <is>
          <t>R10.2</t>
        </is>
      </c>
      <c r="C23" s="9" t="inlineStr">
        <is>
          <t>El sistema debe permitir a los usuarios cerrar sesión de manera segura.</t>
        </is>
      </c>
      <c r="D23" s="9" t="inlineStr">
        <is>
          <t>D6 Administración y Seguridad</t>
        </is>
      </c>
      <c r="E23" s="10" t="inlineStr">
        <is>
          <t>Sub-requerimiento</t>
        </is>
      </c>
      <c r="F23" s="10" t="inlineStr">
        <is>
          <t>R10.1</t>
        </is>
      </c>
      <c r="G23" s="10" t="inlineStr">
        <is>
          <t>Condicional</t>
        </is>
      </c>
      <c r="H23" s="9" t="inlineStr">
        <is>
          <t>Sesión activa y solicitud de cierre del usuario</t>
        </is>
      </c>
      <c r="I23" s="9" t="inlineStr">
        <is>
          <t>Cerrar sesión</t>
        </is>
      </c>
      <c r="J23" s="10" t="inlineStr">
        <is>
          <t>R10</t>
        </is>
      </c>
      <c r="K23" s="10" t="inlineStr">
        <is>
          <t>Explícito</t>
        </is>
      </c>
      <c r="L23" s="10" t="inlineStr">
        <is>
          <t>— (transición Activa → Cerrada, diagrama de estados de la sesión)</t>
        </is>
      </c>
    </row>
    <row r="24" ht="44.25" customFormat="1" customHeight="1" s="28">
      <c r="A24" s="25" t="inlineStr">
        <is>
          <t>F3.4</t>
        </is>
      </c>
      <c r="B24" s="26" t="inlineStr">
        <is>
          <t>R8.1</t>
        </is>
      </c>
      <c r="C24" s="27" t="inlineStr">
        <is>
          <t>El sistema debe permitir asignar circuitos eléctricos y zonas geográficas a un ingeniero operador del COD.</t>
        </is>
      </c>
      <c r="D24" s="27" t="inlineStr">
        <is>
          <t>D6 Administración y Seguridad</t>
        </is>
      </c>
      <c r="E24" s="26" t="inlineStr">
        <is>
          <t>Macro-requerimiento</t>
        </is>
      </c>
      <c r="F24" s="25" t="inlineStr">
        <is>
          <t>—</t>
        </is>
      </c>
      <c r="G24" s="25" t="inlineStr">
        <is>
          <t>—</t>
        </is>
      </c>
      <c r="H24" s="27" t="inlineStr">
        <is>
          <t>Usuario autorizado (R3.4); operador con rol asignado (R3.2); circuitos y zonas registrados</t>
        </is>
      </c>
      <c r="I24" s="27" t="inlineStr">
        <is>
          <t>Asignar circuitos y zonas</t>
        </is>
      </c>
      <c r="J24" s="25" t="inlineStr">
        <is>
          <t>R8</t>
        </is>
      </c>
      <c r="K24" s="25" t="inlineStr">
        <is>
          <t>Explícito</t>
        </is>
      </c>
      <c r="L24" s="25" t="inlineStr">
        <is>
          <t>CU-21</t>
        </is>
      </c>
    </row>
    <row r="25" ht="44.25" customFormat="1" customHeight="1" s="28">
      <c r="A25" s="25" t="inlineStr">
        <is>
          <t>F4.1</t>
        </is>
      </c>
      <c r="B25" s="26" t="inlineStr">
        <is>
          <t>R4.1</t>
        </is>
      </c>
      <c r="C25" s="27" t="inlineStr">
        <is>
          <t>El sistema debe visualizar la red eléctrica de la ciudad en tiempo real sobre el mapa georreferenciado de Cali, con la ubicación de transformadores y circuitos.</t>
        </is>
      </c>
      <c r="D25" s="27" t="inlineStr">
        <is>
          <t>D4 Monitoreo Georreferenciado</t>
        </is>
      </c>
      <c r="E25" s="26" t="inlineStr">
        <is>
          <t>Macro-requerimiento</t>
        </is>
      </c>
      <c r="F25" s="25" t="inlineStr">
        <is>
          <t>—</t>
        </is>
      </c>
      <c r="G25" s="25" t="inlineStr">
        <is>
          <t>—</t>
        </is>
      </c>
      <c r="H25" s="27" t="inlineStr">
        <is>
          <t>Usuario autenticado y autorizado (R3.4); georreferencia de transformadores y circuitos</t>
        </is>
      </c>
      <c r="I25" s="27" t="inlineStr">
        <is>
          <t>Visualizar mapa georreferenciado</t>
        </is>
      </c>
      <c r="J25" s="25" t="inlineStr">
        <is>
          <t>R4</t>
        </is>
      </c>
      <c r="K25" s="25" t="inlineStr">
        <is>
          <t>Explícito</t>
        </is>
      </c>
      <c r="L25" s="25" t="inlineStr">
        <is>
          <t>CU-01</t>
        </is>
      </c>
    </row>
    <row r="26" ht="44.25" customHeight="1">
      <c r="A26" s="10" t="inlineStr">
        <is>
          <t>F4.1</t>
        </is>
      </c>
      <c r="B26" s="8" t="inlineStr">
        <is>
          <t>R4.2</t>
        </is>
      </c>
      <c r="C26" s="9" t="inlineStr">
        <is>
          <t>El sistema debe mostrar el estado de cada transformador y circuito (normal, advertencia de sobrecarga, corte de energía o sospecha de fraude).</t>
        </is>
      </c>
      <c r="D26" s="9" t="inlineStr">
        <is>
          <t>D4 Monitoreo Georreferenciado</t>
        </is>
      </c>
      <c r="E26" s="10" t="inlineStr">
        <is>
          <t>Sub-requerimiento</t>
        </is>
      </c>
      <c r="F26" s="10" t="inlineStr">
        <is>
          <t>R4.1</t>
        </is>
      </c>
      <c r="G26" s="10" t="inlineStr">
        <is>
          <t>Obligatorio</t>
        </is>
      </c>
      <c r="H26" s="9" t="inlineStr">
        <is>
          <t>Eventos clasificados (R1.1) y lecturas persistidas (R6.2)</t>
        </is>
      </c>
      <c r="I26" s="9" t="inlineStr">
        <is>
          <t>Mostrar estado de transformadores y circuitos</t>
        </is>
      </c>
      <c r="J26" s="10" t="inlineStr">
        <is>
          <t>R4</t>
        </is>
      </c>
      <c r="K26" s="10" t="inlineStr">
        <is>
          <t>Explícito</t>
        </is>
      </c>
      <c r="L26" s="10" t="inlineStr">
        <is>
          <t>CU-02</t>
        </is>
      </c>
    </row>
    <row r="27" ht="30.75" customHeight="1">
      <c r="A27" s="10" t="inlineStr">
        <is>
          <t>F4.2</t>
        </is>
      </c>
      <c r="B27" s="8" t="inlineStr">
        <is>
          <t>R4.3</t>
        </is>
      </c>
      <c r="C27" s="9" t="inlineStr">
        <is>
          <t>El sistema debe actualizar el mapa en tiempo real a medida que se reciben y procesan nuevos datagramas.</t>
        </is>
      </c>
      <c r="D27" s="9" t="inlineStr">
        <is>
          <t>D4 Monitoreo Georreferenciado</t>
        </is>
      </c>
      <c r="E27" s="10" t="inlineStr">
        <is>
          <t>Sub-requerimiento</t>
        </is>
      </c>
      <c r="F27" s="10" t="inlineStr">
        <is>
          <t>R4.1</t>
        </is>
      </c>
      <c r="G27" s="10" t="inlineStr">
        <is>
          <t>Obligatorio</t>
        </is>
      </c>
      <c r="H27" s="9" t="inlineStr">
        <is>
          <t>Nuevo dato o evento procesado (R12.1, R1.1)</t>
        </is>
      </c>
      <c r="I27" s="9" t="inlineStr">
        <is>
          <t>Actualizar mapa en tiempo real</t>
        </is>
      </c>
      <c r="J27" s="10" t="inlineStr">
        <is>
          <t>R4</t>
        </is>
      </c>
      <c r="K27" s="10" t="inlineStr">
        <is>
          <t>Explícito</t>
        </is>
      </c>
      <c r="L27" s="10" t="inlineStr">
        <is>
          <t>CU-03</t>
        </is>
      </c>
    </row>
    <row r="28" ht="44.25" customHeight="1">
      <c r="A28" s="10" t="inlineStr">
        <is>
          <t>F4.3</t>
        </is>
      </c>
      <c r="B28" s="8" t="inlineStr">
        <is>
          <t>R9.1</t>
        </is>
      </c>
      <c r="C28" s="9" t="inlineStr">
        <is>
          <t>El sistema debe permitir a cada ingeniero operador visualizar en tiempo real las zonas y circuitos que tiene asignados.</t>
        </is>
      </c>
      <c r="D28" s="9" t="inlineStr">
        <is>
          <t>D4 Monitoreo Georreferenciado</t>
        </is>
      </c>
      <c r="E28" s="10" t="inlineStr">
        <is>
          <t>Sub-requerimiento</t>
        </is>
      </c>
      <c r="F28" s="10" t="inlineStr">
        <is>
          <t>R4.1</t>
        </is>
      </c>
      <c r="G28" s="10" t="inlineStr">
        <is>
          <t>Condicional</t>
        </is>
      </c>
      <c r="H28" s="9" t="inlineStr">
        <is>
          <t>Asignación vigente (R8.1); operador autenticado (R10.1)</t>
        </is>
      </c>
      <c r="I28" s="9" t="inlineStr">
        <is>
          <t>Ver zonas y circuitos asignados</t>
        </is>
      </c>
      <c r="J28" s="10" t="inlineStr">
        <is>
          <t>R9</t>
        </is>
      </c>
      <c r="K28" s="10" t="inlineStr">
        <is>
          <t>Explícito</t>
        </is>
      </c>
      <c r="L28" s="10" t="inlineStr">
        <is>
          <t>CU-04</t>
        </is>
      </c>
    </row>
    <row r="29" ht="44.25" customHeight="1">
      <c r="A29" s="10" t="inlineStr">
        <is>
          <t>F4.4</t>
        </is>
      </c>
      <c r="B29" s="8" t="inlineStr">
        <is>
          <t>R9.2</t>
        </is>
      </c>
      <c r="C29" s="9" t="inlineStr">
        <is>
          <t>El sistema debe mostrar, para cada circuito asignado, los transformadores de distribución y medidores inteligentes asociados en la zona.</t>
        </is>
      </c>
      <c r="D29" s="9" t="inlineStr">
        <is>
          <t>D4 Monitoreo Georreferenciado</t>
        </is>
      </c>
      <c r="E29" s="10" t="inlineStr">
        <is>
          <t>Sub-requerimiento</t>
        </is>
      </c>
      <c r="F29" s="10" t="inlineStr">
        <is>
          <t>R9.1</t>
        </is>
      </c>
      <c r="G29" s="10" t="inlineStr">
        <is>
          <t>Obligatorio</t>
        </is>
      </c>
      <c r="H29" s="9" t="inlineStr">
        <is>
          <t>Circuito asignado seleccionado (R9.1)</t>
        </is>
      </c>
      <c r="I29" s="9" t="inlineStr">
        <is>
          <t>Ver transformadores y medidores del circuito</t>
        </is>
      </c>
      <c r="J29" s="10" t="inlineStr">
        <is>
          <t>R9</t>
        </is>
      </c>
      <c r="K29" s="10" t="inlineStr">
        <is>
          <t>Explícito</t>
        </is>
      </c>
      <c r="L29" s="10" t="inlineStr">
        <is>
          <t>CU-05</t>
        </is>
      </c>
    </row>
    <row r="30" ht="30.75" customHeight="1">
      <c r="A30" s="10" t="inlineStr">
        <is>
          <t>F5.1</t>
        </is>
      </c>
      <c r="B30" s="8" t="inlineStr">
        <is>
          <t>R7.6</t>
        </is>
      </c>
      <c r="C30" s="9" t="inlineStr">
        <is>
          <t>El sistema debe permitir seleccionar el año de operación del proyecto piloto sobre el cual se calcula el balance.</t>
        </is>
      </c>
      <c r="D30" s="9" t="inlineStr">
        <is>
          <t>D5 Analítica de Balance y Pérdidas</t>
        </is>
      </c>
      <c r="E30" s="10" t="inlineStr">
        <is>
          <t>Sub-requerimiento</t>
        </is>
      </c>
      <c r="F30" s="10" t="inlineStr">
        <is>
          <t>R7.1</t>
        </is>
      </c>
      <c r="G30" s="10" t="inlineStr">
        <is>
          <t>Obligatorio</t>
        </is>
      </c>
      <c r="H30" s="9" t="inlineStr">
        <is>
          <t>Datos históricos del año disponibles (R6.2)</t>
        </is>
      </c>
      <c r="I30" s="9" t="inlineStr">
        <is>
          <t>Seleccionar año del piloto</t>
        </is>
      </c>
      <c r="J30" s="10" t="inlineStr">
        <is>
          <t>R7</t>
        </is>
      </c>
      <c r="K30" s="10" t="inlineStr">
        <is>
          <t>Explícito</t>
        </is>
      </c>
      <c r="L30" s="10" t="inlineStr">
        <is>
          <t>CU-07</t>
        </is>
      </c>
    </row>
    <row r="31" ht="30.75" customFormat="1" customHeight="1" s="28">
      <c r="A31" s="25" t="inlineStr">
        <is>
          <t>F5.1</t>
        </is>
      </c>
      <c r="B31" s="26" t="inlineStr">
        <is>
          <t>R7.1</t>
        </is>
      </c>
      <c r="C31" s="27" t="inlineStr">
        <is>
          <t>El sistema debe estimar mensualmente el balance de energía de cada transformador de distribución y circuito.</t>
        </is>
      </c>
      <c r="D31" s="27" t="inlineStr">
        <is>
          <t>D5 Analítica de Balance y Pérdidas</t>
        </is>
      </c>
      <c r="E31" s="26" t="inlineStr">
        <is>
          <t>Macro-requerimiento</t>
        </is>
      </c>
      <c r="F31" s="25" t="inlineStr">
        <is>
          <t>—</t>
        </is>
      </c>
      <c r="G31" s="25" t="inlineStr">
        <is>
          <t>—</t>
        </is>
      </c>
      <c r="H31" s="27" t="inlineStr">
        <is>
          <t>Año seleccionado (R7.6); usuario autorizado (R3.4)</t>
        </is>
      </c>
      <c r="I31" s="27" t="inlineStr">
        <is>
          <t>Estimar balance de energía mensual</t>
        </is>
      </c>
      <c r="J31" s="25" t="inlineStr">
        <is>
          <t>R7</t>
        </is>
      </c>
      <c r="K31" s="25" t="inlineStr">
        <is>
          <t>Explícito</t>
        </is>
      </c>
      <c r="L31" s="25" t="inlineStr">
        <is>
          <t>CU-06</t>
        </is>
      </c>
    </row>
    <row r="32" ht="30.75" customHeight="1">
      <c r="A32" s="10" t="inlineStr">
        <is>
          <t>F5.2</t>
        </is>
      </c>
      <c r="B32" s="8" t="inlineStr">
        <is>
          <t>R7.2</t>
        </is>
      </c>
      <c r="C32" s="9" t="inlineStr">
        <is>
          <t>El sistema debe totalizar la energía inyectada registrada por el macromedidor de cada transformador en el mes.</t>
        </is>
      </c>
      <c r="D32" s="9" t="inlineStr">
        <is>
          <t>D5 Analítica de Balance y Pérdidas</t>
        </is>
      </c>
      <c r="E32" s="10" t="inlineStr">
        <is>
          <t>Sub-requerimiento</t>
        </is>
      </c>
      <c r="F32" s="10" t="inlineStr">
        <is>
          <t>R7.1</t>
        </is>
      </c>
      <c r="G32" s="10" t="inlineStr">
        <is>
          <t>Obligatorio</t>
        </is>
      </c>
      <c r="H32" s="9" t="inlineStr">
        <is>
          <t>Lecturas de macromedidor del mes (R6.2, R12.1)</t>
        </is>
      </c>
      <c r="I32" s="9" t="inlineStr">
        <is>
          <t>Totalizar energía inyectada</t>
        </is>
      </c>
      <c r="J32" s="10" t="inlineStr">
        <is>
          <t>R7</t>
        </is>
      </c>
      <c r="K32" s="10" t="inlineStr">
        <is>
          <t>Explícito</t>
        </is>
      </c>
      <c r="L32" s="10" t="inlineStr">
        <is>
          <t>CU-08</t>
        </is>
      </c>
    </row>
    <row r="33" ht="44.25" customHeight="1">
      <c r="A33" s="10" t="inlineStr">
        <is>
          <t>F5.2</t>
        </is>
      </c>
      <c r="B33" s="8" t="inlineStr">
        <is>
          <t>R7.3</t>
        </is>
      </c>
      <c r="C33" s="9" t="inlineStr">
        <is>
          <t>El sistema debe totalizar la energía consumida por los medidores inteligentes asociados a cada transformador en el mes.</t>
        </is>
      </c>
      <c r="D33" s="9" t="inlineStr">
        <is>
          <t>D5 Analítica de Balance y Pérdidas</t>
        </is>
      </c>
      <c r="E33" s="10" t="inlineStr">
        <is>
          <t>Sub-requerimiento</t>
        </is>
      </c>
      <c r="F33" s="10" t="inlineStr">
        <is>
          <t>R7.1</t>
        </is>
      </c>
      <c r="G33" s="10" t="inlineStr">
        <is>
          <t>Obligatorio</t>
        </is>
      </c>
      <c r="H33" s="9" t="inlineStr">
        <is>
          <t>Lecturas de medidores asociados (R6.2); asociación medidor–transformador</t>
        </is>
      </c>
      <c r="I33" s="9" t="inlineStr">
        <is>
          <t>Totalizar energía consumida</t>
        </is>
      </c>
      <c r="J33" s="10" t="inlineStr">
        <is>
          <t>R7</t>
        </is>
      </c>
      <c r="K33" s="10" t="inlineStr">
        <is>
          <t>Explícito</t>
        </is>
      </c>
      <c r="L33" s="10" t="inlineStr">
        <is>
          <t>CU-09</t>
        </is>
      </c>
    </row>
    <row r="34" ht="44.25" customHeight="1">
      <c r="A34" s="10" t="inlineStr">
        <is>
          <t>F5.3</t>
        </is>
      </c>
      <c r="B34" s="8" t="inlineStr">
        <is>
          <t>R7.4</t>
        </is>
      </c>
      <c r="C34" s="9" t="inlineStr">
        <is>
          <t>El sistema debe calcular el porcentaje de pérdidas no técnicas (fraude/fuga) de cada transformador comparando la energía inyectada contra la consumida.</t>
        </is>
      </c>
      <c r="D34" s="9" t="inlineStr">
        <is>
          <t>D5 Analítica de Balance y Pérdidas</t>
        </is>
      </c>
      <c r="E34" s="10" t="inlineStr">
        <is>
          <t>Sub-requerimiento</t>
        </is>
      </c>
      <c r="F34" s="10" t="inlineStr">
        <is>
          <t>R7.1</t>
        </is>
      </c>
      <c r="G34" s="10" t="inlineStr">
        <is>
          <t>Obligatorio</t>
        </is>
      </c>
      <c r="H34" s="9" t="inlineStr">
        <is>
          <t>Energía inyectada (R7.2) y consumida (R7.3) calculadas</t>
        </is>
      </c>
      <c r="I34" s="9" t="inlineStr">
        <is>
          <t>Calcular % de pérdidas no técnicas</t>
        </is>
      </c>
      <c r="J34" s="10" t="inlineStr">
        <is>
          <t>R7</t>
        </is>
      </c>
      <c r="K34" s="10" t="inlineStr">
        <is>
          <t>Explícito</t>
        </is>
      </c>
      <c r="L34" s="10" t="inlineStr">
        <is>
          <t>CU-10</t>
        </is>
      </c>
    </row>
    <row r="35" ht="30.75" customHeight="1">
      <c r="A35" s="10" t="inlineStr">
        <is>
          <t>F5.4</t>
        </is>
      </c>
      <c r="B35" s="8" t="inlineStr">
        <is>
          <t>R7.5</t>
        </is>
      </c>
      <c r="C35" s="9" t="inlineStr">
        <is>
          <t>El sistema debe agregar el balance y el porcentaje de pérdidas de los transformadores al nivel de circuito.</t>
        </is>
      </c>
      <c r="D35" s="9" t="inlineStr">
        <is>
          <t>D5 Analítica de Balance y Pérdidas</t>
        </is>
      </c>
      <c r="E35" s="10" t="inlineStr">
        <is>
          <t>Sub-requerimiento</t>
        </is>
      </c>
      <c r="F35" s="10" t="inlineStr">
        <is>
          <t>R7.1</t>
        </is>
      </c>
      <c r="G35" s="10" t="inlineStr">
        <is>
          <t>Obligatorio</t>
        </is>
      </c>
      <c r="H35" s="9" t="inlineStr">
        <is>
          <t>Balance por transformador calculado (R7.4)</t>
        </is>
      </c>
      <c r="I35" s="9" t="inlineStr">
        <is>
          <t>Agregar balance por circuito</t>
        </is>
      </c>
      <c r="J35" s="10" t="inlineStr">
        <is>
          <t>R7</t>
        </is>
      </c>
      <c r="K35" s="10" t="inlineStr">
        <is>
          <t>Explícito</t>
        </is>
      </c>
      <c r="L35" s="10" t="inlineStr">
        <is>
          <t>CU-11</t>
        </is>
      </c>
    </row>
    <row r="36" ht="44.25" customHeight="1">
      <c r="A36" s="10" t="inlineStr">
        <is>
          <t>F6.1</t>
        </is>
      </c>
      <c r="B36" s="8" t="inlineStr">
        <is>
          <t>R14.3</t>
        </is>
      </c>
      <c r="C36" s="9" t="inlineStr">
        <is>
          <t>El sistema debe autenticar y autorizar a los consumidores de la API (ciudadanos, empresas usuarias y entes de regulación).</t>
        </is>
      </c>
      <c r="D36" s="9" t="inlineStr">
        <is>
          <t>D7 Servicios Abiertos (APIs)</t>
        </is>
      </c>
      <c r="E36" s="10" t="inlineStr">
        <is>
          <t>Sub-requerimiento</t>
        </is>
      </c>
      <c r="F36" s="10" t="inlineStr">
        <is>
          <t>R14.1</t>
        </is>
      </c>
      <c r="G36" s="10" t="inlineStr">
        <is>
          <t>Obligatorio</t>
        </is>
      </c>
      <c r="H36" s="9" t="inlineStr">
        <is>
          <t>Consumidor presenta credenciales</t>
        </is>
      </c>
      <c r="I36" s="9" t="inlineStr">
        <is>
          <t>Autenticar consumidor de API</t>
        </is>
      </c>
      <c r="J36" s="10" t="inlineStr">
        <is>
          <t>R14</t>
        </is>
      </c>
      <c r="K36" s="11" t="inlineStr">
        <is>
          <t>Implícito</t>
        </is>
      </c>
      <c r="L36" s="11" t="inlineStr">
        <is>
          <t>— (fuera del alcance del CUC de R4/R7)</t>
        </is>
      </c>
    </row>
    <row r="37" ht="30.75" customHeight="1">
      <c r="A37" s="10" t="inlineStr">
        <is>
          <t>F6.1</t>
        </is>
      </c>
      <c r="B37" s="8" t="inlineStr">
        <is>
          <t>R14.4</t>
        </is>
      </c>
      <c r="C37" s="9" t="inlineStr">
        <is>
          <t>El sistema debe calcular los índices de calidad y continuidad del servicio por zona.</t>
        </is>
      </c>
      <c r="D37" s="9" t="inlineStr">
        <is>
          <t>D7 Servicios Abiertos (APIs)</t>
        </is>
      </c>
      <c r="E37" s="10" t="inlineStr">
        <is>
          <t>Sub-requerimiento</t>
        </is>
      </c>
      <c r="F37" s="10" t="inlineStr">
        <is>
          <t>R14.1</t>
        </is>
      </c>
      <c r="G37" s="10" t="inlineStr">
        <is>
          <t>Obligatorio</t>
        </is>
      </c>
      <c r="H37" s="9" t="inlineStr">
        <is>
          <t>Eventos de corte y lecturas persistidos (R1.3, R6.2)</t>
        </is>
      </c>
      <c r="I37" s="9" t="inlineStr">
        <is>
          <t>Calcular índices de calidad y continuidad</t>
        </is>
      </c>
      <c r="J37" s="10" t="inlineStr">
        <is>
          <t>R14</t>
        </is>
      </c>
      <c r="K37" s="11" t="inlineStr">
        <is>
          <t>Implícito</t>
        </is>
      </c>
      <c r="L37" s="11" t="inlineStr">
        <is>
          <t>— (fuera del alcance del CUC de R4/R7)</t>
        </is>
      </c>
    </row>
    <row r="38" ht="44.25" customFormat="1" customHeight="1" s="28">
      <c r="A38" s="25" t="inlineStr">
        <is>
          <t>F6.2</t>
        </is>
      </c>
      <c r="B38" s="26" t="inlineStr">
        <is>
          <t>R14.1</t>
        </is>
      </c>
      <c r="C38" s="27" t="inlineStr">
        <is>
          <t>El sistema debe ofrecer una API que permita consultar los índices de calidad y continuidad del servicio eléctrico en la zona del consultante.</t>
        </is>
      </c>
      <c r="D38" s="27" t="inlineStr">
        <is>
          <t>D7 Servicios Abiertos (APIs)</t>
        </is>
      </c>
      <c r="E38" s="26" t="inlineStr">
        <is>
          <t>Macro-requerimiento</t>
        </is>
      </c>
      <c r="F38" s="25" t="inlineStr">
        <is>
          <t>—</t>
        </is>
      </c>
      <c r="G38" s="25" t="inlineStr">
        <is>
          <t>—</t>
        </is>
      </c>
      <c r="H38" s="27" t="inlineStr">
        <is>
          <t>Consumidor autenticado (R14.3); índices calculados (R14.4)</t>
        </is>
      </c>
      <c r="I38" s="27" t="inlineStr">
        <is>
          <t>Consultar índices de calidad y continuidad</t>
        </is>
      </c>
      <c r="J38" s="25" t="inlineStr">
        <is>
          <t>R14</t>
        </is>
      </c>
      <c r="K38" s="25" t="inlineStr">
        <is>
          <t>Explícito</t>
        </is>
      </c>
      <c r="L38" s="25" t="inlineStr">
        <is>
          <t>— (fuera del alcance del CUC de R4/R7)</t>
        </is>
      </c>
    </row>
    <row r="39" ht="30.75" customFormat="1" customHeight="1" s="28">
      <c r="A39" s="25" t="inlineStr">
        <is>
          <t>F6.3</t>
        </is>
      </c>
      <c r="B39" s="26" t="inlineStr">
        <is>
          <t>R14.2</t>
        </is>
      </c>
      <c r="C39" s="27" t="inlineStr">
        <is>
          <t>El sistema debe ofrecer una API que permita consultar el historial del perfil de consumo del consultante.</t>
        </is>
      </c>
      <c r="D39" s="27" t="inlineStr">
        <is>
          <t>D7 Servicios Abiertos (APIs)</t>
        </is>
      </c>
      <c r="E39" s="26" t="inlineStr">
        <is>
          <t>Macro-requerimiento</t>
        </is>
      </c>
      <c r="F39" s="25" t="inlineStr">
        <is>
          <t>—</t>
        </is>
      </c>
      <c r="G39" s="25" t="inlineStr">
        <is>
          <t>—</t>
        </is>
      </c>
      <c r="H39" s="27" t="inlineStr">
        <is>
          <t>Consumidor autenticado (R14.3); consumo persistido (R6.2)</t>
        </is>
      </c>
      <c r="I39" s="27" t="inlineStr">
        <is>
          <t>Consultar historial de perfil de consumo</t>
        </is>
      </c>
      <c r="J39" s="25" t="inlineStr">
        <is>
          <t>R14</t>
        </is>
      </c>
      <c r="K39" s="25" t="inlineStr">
        <is>
          <t>Explícito</t>
        </is>
      </c>
      <c r="L39" s="25" t="inlineStr">
        <is>
          <t>— (fuera del alcance del CUC de R4/R7)</t>
        </is>
      </c>
    </row>
    <row r="41" ht="23.85" customHeight="1">
      <c r="A41" s="8" t="inlineStr">
        <is>
          <t>Totales</t>
        </is>
      </c>
      <c r="B41" s="37" t="n"/>
      <c r="C41" s="12">
        <f>COUNTA(B5:B39)&amp;" RF atómicos: "&amp;COUNTIF(E5:E39,"Macro-requerimiento")&amp;" macro y "&amp;COUNTIF(E5:E39,"Sub-requerimiento")&amp;" sub (obligatorios: "&amp;COUNTIF(G5:G39,"Obligatorio")&amp;"; condicionales: "&amp;COUNTIF(G5:G39,"Condicional")&amp;")"</f>
        <v/>
      </c>
    </row>
    <row r="42" ht="26.4" customHeight="1">
      <c r="C42" s="12">
        <f>COUNTIF(K5:K39,"Implícito")&amp;" RF implícitos (resaltados en amarillo), derivados del texto del enunciado"</f>
        <v/>
      </c>
    </row>
    <row r="44" ht="25.5" customHeight="1">
      <c r="A44" s="4" t="inlineStr">
        <is>
          <t>Flujos de ordenamiento: F1 = Ingesta y clasificación automática de eventos; F2 = Reporte de evento operativo de campo; F3 = Administración, acceso y asignación; F4 = Monitoreo georreferenciado; F5 = Balance de energía y pérdidas; F6 = Servicios abiertos (APIs)</t>
        </is>
      </c>
    </row>
    <row r="45" ht="25.5" customHeight="1">
      <c r="A45" s="4" t="inlineStr">
        <is>
          <t>Fase 1 aplicada solo a los RF: los RNF (R2, R11, R13) y los requerimientos de proceso (R5, R15) no generan casos de uso; se retoman en la Fase 2 como impulsores del particionamiento. Los 10 RF de R1–R15 (R1, R3, R4, R6, R7, R8, R9, R10, R12, R14) se descomponen en RF atómicos (R1.1, R1.2, …) sin agregar necesidades nuevas; los marcados «Implícito» se deducen de estados o precondiciones citados en el enunciado (R15, «previamente parametrizados», «índices de calidad»).</t>
        </is>
      </c>
    </row>
    <row r="46" ht="25.5" customHeight="1">
      <c r="A46" s="4" t="inlineStr">
        <is>
          <t>Filas con fondo azul: macro-requerimientos (casos de uso base). Obligatorio = «include»; Condicional u Opcional = «extend».</t>
        </is>
      </c>
    </row>
    <row r="48">
      <c r="A48" s="30" t="inlineStr">
        <is>
          <t>Dominios de entidad (Agrupar) — áreas funcionales</t>
        </is>
      </c>
    </row>
    <row r="49" ht="27.75" customFormat="1" customHeight="1" s="16">
      <c r="A49" s="33" t="inlineStr">
        <is>
          <t>Dominio</t>
        </is>
      </c>
      <c r="B49" s="33" t="inlineStr">
        <is>
          <t>Nombre</t>
        </is>
      </c>
      <c r="C49" s="33" t="inlineStr">
        <is>
          <t>Por qué existe (justificación)</t>
        </is>
      </c>
      <c r="D49" s="33" t="inlineStr">
        <is>
          <t>Req. del enunciado</t>
        </is>
      </c>
      <c r="E49" s="33" t="inlineStr">
        <is>
          <t># RF</t>
        </is>
      </c>
    </row>
    <row r="50" ht="30" customHeight="1">
      <c r="A50" s="8" t="inlineStr">
        <is>
          <t>D1</t>
        </is>
      </c>
      <c r="B50" s="9" t="inlineStr">
        <is>
          <t>Ingesta y Telemetría AMI</t>
        </is>
      </c>
      <c r="C50" s="9" t="inlineStr">
        <is>
          <t>Recibe, decodifica y persiste los datagramas de medidores y macromedidores; es la fuente de todo lo demás.</t>
        </is>
      </c>
      <c r="D50" s="10" t="inlineStr">
        <is>
          <t>R6, R12</t>
        </is>
      </c>
      <c r="E50" s="10">
        <f>COUNTIF($D$5:$D$39,"D1*")</f>
        <v/>
      </c>
    </row>
    <row r="51" ht="30" customHeight="1">
      <c r="A51" s="8" t="inlineStr">
        <is>
          <t>D2</t>
        </is>
      </c>
      <c r="B51" s="9" t="inlineStr">
        <is>
          <t>Gestión de Eventos y Alarmas</t>
        </is>
      </c>
      <c r="C51" s="9" t="inlineStr">
        <is>
          <t>Categoriza, prioriza, registra y notifica los eventos de la red y administra el catálogo de eventos.</t>
        </is>
      </c>
      <c r="D51" s="10" t="inlineStr">
        <is>
          <t>R1, R15 (estados)</t>
        </is>
      </c>
      <c r="E51" s="10">
        <f>COUNTIF($D$5:$D$39,"D2*")</f>
        <v/>
      </c>
    </row>
    <row r="52" ht="30" customHeight="1">
      <c r="A52" s="8" t="inlineStr">
        <is>
          <t>D3</t>
        </is>
      </c>
      <c r="B52" s="9" t="inlineStr">
        <is>
          <t>Operación de Campo</t>
        </is>
      </c>
      <c r="C52" s="9" t="inlineStr">
        <is>
          <t>Permite al técnico de cuadrilla reportar eventos desde la terminal móvil.</t>
        </is>
      </c>
      <c r="D52" s="10" t="inlineStr">
        <is>
          <t>R1, R2 (restricción)</t>
        </is>
      </c>
      <c r="E52" s="10">
        <f>COUNTIF($D$5:$D$39,"D3*")</f>
        <v/>
      </c>
    </row>
    <row r="53" ht="30" customHeight="1">
      <c r="A53" s="8" t="inlineStr">
        <is>
          <t>D4</t>
        </is>
      </c>
      <c r="B53" s="9" t="inlineStr">
        <is>
          <t>Monitoreo Georreferenciado</t>
        </is>
      </c>
      <c r="C53" s="9" t="inlineStr">
        <is>
          <t>Mapa de Cali en tiempo real y vistas por operador (zonas y circuitos asignados).</t>
        </is>
      </c>
      <c r="D53" s="10" t="inlineStr">
        <is>
          <t>R4, R9</t>
        </is>
      </c>
      <c r="E53" s="10">
        <f>COUNTIF($D$5:$D$39,"D4*")</f>
        <v/>
      </c>
    </row>
    <row r="54" ht="30" customHeight="1">
      <c r="A54" s="8" t="inlineStr">
        <is>
          <t>D5</t>
        </is>
      </c>
      <c r="B54" s="9" t="inlineStr">
        <is>
          <t>Analítica de Balance y Pérdidas</t>
        </is>
      </c>
      <c r="C54" s="9" t="inlineStr">
        <is>
          <t>Balance mensual de energía y % de pérdidas no técnicas por transformador y circuito.</t>
        </is>
      </c>
      <c r="D54" s="10" t="inlineStr">
        <is>
          <t>R7, R11 (RNF)</t>
        </is>
      </c>
      <c r="E54" s="10">
        <f>COUNTIF($D$5:$D$39,"D5*")</f>
        <v/>
      </c>
    </row>
    <row r="55" ht="30" customHeight="1">
      <c r="A55" s="8" t="inlineStr">
        <is>
          <t>D6</t>
        </is>
      </c>
      <c r="B55" s="9" t="inlineStr">
        <is>
          <t>Administración y Seguridad</t>
        </is>
      </c>
      <c r="C55" s="9" t="inlineStr">
        <is>
          <t>Usuarios, roles, permisos, sesiones y asignación de zonas a operadores.</t>
        </is>
      </c>
      <c r="D55" s="10" t="inlineStr">
        <is>
          <t>R3, R8, R10, R15 (sesión)</t>
        </is>
      </c>
      <c r="E55" s="10">
        <f>COUNTIF($D$5:$D$39,"D6*")</f>
        <v/>
      </c>
    </row>
    <row r="56" ht="30" customHeight="1">
      <c r="A56" s="8" t="inlineStr">
        <is>
          <t>D7</t>
        </is>
      </c>
      <c r="B56" s="9" t="inlineStr">
        <is>
          <t>Servicios Abiertos (APIs)</t>
        </is>
      </c>
      <c r="C56" s="9" t="inlineStr">
        <is>
          <t>APIs para ciudadanos, empresas usuarias y entes de regulación.</t>
        </is>
      </c>
      <c r="D56" s="10" t="inlineStr">
        <is>
          <t>R14</t>
        </is>
      </c>
      <c r="E56" s="10">
        <f>COUNTIF($D$5:$D$39,"D7*")</f>
        <v/>
      </c>
    </row>
    <row r="57">
      <c r="D57" s="8" t="inlineStr">
        <is>
          <t>Total</t>
        </is>
      </c>
      <c r="E57" s="8">
        <f>SUM(E50:E56)</f>
        <v/>
      </c>
    </row>
  </sheetData>
  <mergeCells count="6">
    <mergeCell ref="A41:B41"/>
    <mergeCell ref="A2:K2"/>
    <mergeCell ref="A1:K1"/>
    <mergeCell ref="A46:K46"/>
    <mergeCell ref="A44:K44"/>
    <mergeCell ref="A45:K45"/>
  </mergeCells>
  <pageMargins left="0.75" right="0.75" top="1" bottom="1" header="0.511811023622047" footer="0.511811023622047"/>
  <pageSetup orientation="landscape" paperSize="9" fitToHeight="0" fitToWidth="1" horizontalDpi="300" verticalDpi="300"/>
</worksheet>
</file>

<file path=xl/worksheets/sheet3.xml><?xml version="1.0" encoding="utf-8"?>
<worksheet xmlns="http://schemas.openxmlformats.org/spreadsheetml/2006/main">
  <sheetPr>
    <outlinePr summaryBelow="1" summaryRight="1"/>
    <pageSetUpPr fitToPage="1"/>
  </sheetPr>
  <dimension ref="A1:H44"/>
  <sheetViews>
    <sheetView topLeftCell="A34" zoomScaleNormal="100" workbookViewId="0">
      <selection activeCell="A31" sqref="A31"/>
    </sheetView>
  </sheetViews>
  <sheetFormatPr baseColWidth="10" defaultColWidth="8.6640625" defaultRowHeight="14.4"/>
  <cols>
    <col width="26" customWidth="1" min="1" max="1"/>
    <col width="40" customWidth="1" min="2" max="2"/>
    <col width="24" customWidth="1" min="3" max="3"/>
    <col width="11" customWidth="1" min="4" max="4"/>
    <col width="32" customWidth="1" min="5" max="5"/>
    <col width="7" customWidth="1" min="6" max="6"/>
    <col width="26" customWidth="1" min="7" max="7"/>
    <col width="34" customWidth="1" min="8" max="8"/>
  </cols>
  <sheetData>
    <row r="1" ht="21.75" customHeight="1">
      <c r="A1" s="13" t="n"/>
    </row>
    <row r="2">
      <c r="A2" s="6" t="n"/>
    </row>
    <row r="4" ht="31.5" customFormat="1" customHeight="1" s="16">
      <c r="A4" s="33" t="inlineStr">
        <is>
          <t>Nivel 1: Sistema</t>
        </is>
      </c>
      <c r="B4" s="33" t="inlineStr">
        <is>
          <t>Nivel 2: Subsistema</t>
        </is>
      </c>
      <c r="C4" s="33" t="inlineStr">
        <is>
          <t>Rol / capa</t>
        </is>
      </c>
      <c r="D4" s="33" t="inlineStr">
        <is>
          <t>Dominio(s)</t>
        </is>
      </c>
      <c r="E4" s="33" t="inlineStr">
        <is>
          <t>Nivel 3: Componente</t>
        </is>
      </c>
      <c r="F4" s="33" t="inlineStr">
        <is>
          <t>Cód.</t>
        </is>
      </c>
      <c r="G4" s="33" t="inlineStr">
        <is>
          <t>RF asignados</t>
        </is>
      </c>
      <c r="H4" s="33" t="inlineStr">
        <is>
          <t>RNF / RAS que impulsan el diseño</t>
        </is>
      </c>
    </row>
    <row r="5" ht="21.75" customHeight="1">
      <c r="A5" s="32" t="inlineStr">
        <is>
          <t>Plataforma de Telemetría y Análisis de la Red Eléctrica</t>
        </is>
      </c>
      <c r="B5" s="12" t="inlineStr">
        <is>
          <t>S1 Subsistema de Ingesta y Mensajería AMI</t>
        </is>
      </c>
      <c r="C5" s="32" t="inlineStr">
        <is>
          <t>Borde -&gt; mensajería</t>
        </is>
      </c>
      <c r="D5" s="10" t="inlineStr">
        <is>
          <t>D1</t>
        </is>
      </c>
      <c r="E5" s="12" t="inlineStr">
        <is>
          <t>ReceptorDatagramasAMI</t>
        </is>
      </c>
      <c r="F5" s="10" t="inlineStr">
        <is>
          <t>C01</t>
        </is>
      </c>
      <c r="G5" s="10" t="inlineStr">
        <is>
          <t>R6.1</t>
        </is>
      </c>
      <c r="H5" s="9" t="inlineStr">
        <is>
          <t>R6, R13</t>
        </is>
      </c>
    </row>
    <row r="6" ht="21.75" customHeight="1">
      <c r="A6" s="38" t="n"/>
      <c r="B6" s="38" t="n"/>
      <c r="C6" s="38" t="n"/>
      <c r="D6" s="38" t="n"/>
      <c r="E6" s="12" t="inlineStr">
        <is>
          <t>ParserDatagramaAMI</t>
        </is>
      </c>
      <c r="F6" s="10" t="inlineStr">
        <is>
          <t>C02</t>
        </is>
      </c>
      <c r="G6" s="10" t="inlineStr">
        <is>
          <t>R12.1</t>
        </is>
      </c>
      <c r="H6" s="9" t="inlineStr">
        <is>
          <t>R12, R13</t>
        </is>
      </c>
    </row>
    <row r="7" ht="21.75" customHeight="1">
      <c r="A7" s="38" t="n"/>
      <c r="B7" s="39" t="n"/>
      <c r="C7" s="39" t="n"/>
      <c r="D7" s="39" t="n"/>
      <c r="E7" s="12" t="inlineStr">
        <is>
          <t>BusMensajeriaTelemetria</t>
        </is>
      </c>
      <c r="F7" s="10" t="inlineStr">
        <is>
          <t>C03</t>
        </is>
      </c>
      <c r="G7" s="10" t="inlineStr">
        <is>
          <t>— (soporte)</t>
        </is>
      </c>
      <c r="H7" s="9" t="inlineStr">
        <is>
          <t>R11, R13, R6</t>
        </is>
      </c>
    </row>
    <row r="8" ht="21.75" customHeight="1">
      <c r="A8" s="38" t="n"/>
      <c r="B8" s="12" t="inlineStr">
        <is>
          <t>S2 Subsistema de Procesamiento de Eventos y Alarmas</t>
        </is>
      </c>
      <c r="C8" s="10" t="inlineStr">
        <is>
          <t>Procesamiento</t>
        </is>
      </c>
      <c r="D8" s="10" t="inlineStr">
        <is>
          <t>D2</t>
        </is>
      </c>
      <c r="E8" s="12" t="inlineStr">
        <is>
          <t>ClasificadorEventosRed</t>
        </is>
      </c>
      <c r="F8" s="10" t="inlineStr">
        <is>
          <t>C04</t>
        </is>
      </c>
      <c r="G8" s="10" t="inlineStr">
        <is>
          <t>R1.1, R1.2</t>
        </is>
      </c>
      <c r="H8" s="9" t="inlineStr">
        <is>
          <t>R1, R11, R13</t>
        </is>
      </c>
    </row>
    <row r="9" ht="21.75" customHeight="1">
      <c r="A9" s="38" t="n"/>
      <c r="B9" s="38" t="n"/>
      <c r="C9" s="38" t="n"/>
      <c r="D9" s="38" t="n"/>
      <c r="E9" s="12" t="inlineStr">
        <is>
          <t>GestorCicloVidaEventos</t>
        </is>
      </c>
      <c r="F9" s="10" t="inlineStr">
        <is>
          <t>C05</t>
        </is>
      </c>
      <c r="G9" s="10" t="inlineStr">
        <is>
          <t>R1.3, R1.5</t>
        </is>
      </c>
      <c r="H9" s="9" t="inlineStr">
        <is>
          <t>R15, R1</t>
        </is>
      </c>
    </row>
    <row r="10" ht="21.75" customHeight="1">
      <c r="A10" s="38" t="n"/>
      <c r="B10" s="38" t="n"/>
      <c r="C10" s="38" t="n"/>
      <c r="D10" s="38" t="n"/>
      <c r="E10" s="12" t="inlineStr">
        <is>
          <t>NotificadorOperadores</t>
        </is>
      </c>
      <c r="F10" s="10" t="inlineStr">
        <is>
          <t>C06</t>
        </is>
      </c>
      <c r="G10" s="10" t="inlineStr">
        <is>
          <t>R1.4</t>
        </is>
      </c>
      <c r="H10" s="9" t="inlineStr">
        <is>
          <t>R4</t>
        </is>
      </c>
    </row>
    <row r="11" ht="21.75" customHeight="1">
      <c r="A11" s="38" t="n"/>
      <c r="B11" s="39" t="n"/>
      <c r="C11" s="39" t="n"/>
      <c r="D11" s="39" t="n"/>
      <c r="E11" s="12" t="inlineStr">
        <is>
          <t>CatalogoEventos</t>
        </is>
      </c>
      <c r="F11" s="10" t="inlineStr">
        <is>
          <t>C07</t>
        </is>
      </c>
      <c r="G11" s="10" t="inlineStr">
        <is>
          <t>R1.6</t>
        </is>
      </c>
      <c r="H11" s="9" t="inlineStr">
        <is>
          <t>R1</t>
        </is>
      </c>
    </row>
    <row r="12" ht="21.75" customHeight="1">
      <c r="A12" s="38" t="n"/>
      <c r="B12" s="12" t="inlineStr">
        <is>
          <t>S3 Subsistema de Almacenamiento y Consulta de Telemetría</t>
        </is>
      </c>
      <c r="C12" s="10" t="inlineStr">
        <is>
          <t>Almacenamiento</t>
        </is>
      </c>
      <c r="D12" s="10" t="inlineStr">
        <is>
          <t>D1</t>
        </is>
      </c>
      <c r="E12" s="12" t="inlineStr">
        <is>
          <t>AlmacenSeriesTiempo</t>
        </is>
      </c>
      <c r="F12" s="10" t="inlineStr">
        <is>
          <t>C08</t>
        </is>
      </c>
      <c r="G12" s="10" t="inlineStr">
        <is>
          <t>R6.2</t>
        </is>
      </c>
      <c r="H12" s="9" t="inlineStr">
        <is>
          <t>R6, R11, R13</t>
        </is>
      </c>
    </row>
    <row r="13" ht="21.75" customHeight="1">
      <c r="A13" s="38" t="n"/>
      <c r="B13" s="39" t="n"/>
      <c r="C13" s="39" t="n"/>
      <c r="D13" s="39" t="n"/>
      <c r="E13" s="12" t="inlineStr">
        <is>
          <t>ServicioConsultaTelemetria</t>
        </is>
      </c>
      <c r="F13" s="10" t="inlineStr">
        <is>
          <t>C09</t>
        </is>
      </c>
      <c r="G13" s="10" t="inlineStr">
        <is>
          <t>R6.3</t>
        </is>
      </c>
      <c r="H13" s="9" t="inlineStr">
        <is>
          <t>R6, R4</t>
        </is>
      </c>
    </row>
    <row r="14" ht="21.75" customHeight="1">
      <c r="A14" s="38" t="n"/>
      <c r="B14" s="12" t="inlineStr">
        <is>
          <t>S4 Subsistema de Monitoreo Georreferenciado</t>
        </is>
      </c>
      <c r="C14" s="10" t="inlineStr">
        <is>
          <t>Presentación / tiempo real</t>
        </is>
      </c>
      <c r="D14" s="10" t="inlineStr">
        <is>
          <t>D4</t>
        </is>
      </c>
      <c r="E14" s="12" t="inlineStr">
        <is>
          <t>ServicioMapaRed</t>
        </is>
      </c>
      <c r="F14" s="10" t="inlineStr">
        <is>
          <t>C10</t>
        </is>
      </c>
      <c r="G14" s="10" t="inlineStr">
        <is>
          <t>R4.1, R4.2</t>
        </is>
      </c>
      <c r="H14" s="9" t="inlineStr">
        <is>
          <t>R4</t>
        </is>
      </c>
    </row>
    <row r="15" ht="21.75" customHeight="1">
      <c r="A15" s="38" t="n"/>
      <c r="B15" s="38" t="n"/>
      <c r="C15" s="38" t="n"/>
      <c r="D15" s="38" t="n"/>
      <c r="E15" s="12" t="inlineStr">
        <is>
          <t>ActualizadorTiempoReal</t>
        </is>
      </c>
      <c r="F15" s="10" t="inlineStr">
        <is>
          <t>C11</t>
        </is>
      </c>
      <c r="G15" s="10" t="inlineStr">
        <is>
          <t>R4.3</t>
        </is>
      </c>
      <c r="H15" s="9" t="inlineStr">
        <is>
          <t>R4, R9</t>
        </is>
      </c>
    </row>
    <row r="16" ht="21.75" customHeight="1">
      <c r="A16" s="38" t="n"/>
      <c r="B16" s="38" t="n"/>
      <c r="C16" s="38" t="n"/>
      <c r="D16" s="38" t="n"/>
      <c r="E16" s="12" t="inlineStr">
        <is>
          <t>GestorVistaOperador</t>
        </is>
      </c>
      <c r="F16" s="10" t="inlineStr">
        <is>
          <t>C12</t>
        </is>
      </c>
      <c r="G16" s="10" t="inlineStr">
        <is>
          <t>R9.1, R9.2</t>
        </is>
      </c>
      <c r="H16" s="9" t="inlineStr">
        <is>
          <t>R9</t>
        </is>
      </c>
    </row>
    <row r="17" ht="21.75" customHeight="1">
      <c r="A17" s="38" t="n"/>
      <c r="B17" s="38" t="n"/>
      <c r="C17" s="38" t="n"/>
      <c r="D17" s="38" t="n"/>
      <c r="E17" s="12" t="inlineStr">
        <is>
          <t>CatalogoTopologiaRed</t>
        </is>
      </c>
      <c r="F17" s="10" t="inlineStr">
        <is>
          <t>C13</t>
        </is>
      </c>
      <c r="G17" s="10" t="inlineStr">
        <is>
          <t>— (soporte)</t>
        </is>
      </c>
      <c r="H17" s="9" t="inlineStr">
        <is>
          <t>R4, R7, R9</t>
        </is>
      </c>
    </row>
    <row r="18" ht="21.75" customHeight="1">
      <c r="A18" s="38" t="n"/>
      <c r="B18" s="39" t="n"/>
      <c r="C18" s="39" t="n"/>
      <c r="D18" s="39" t="n"/>
      <c r="E18" s="12" t="inlineStr">
        <is>
          <t>ConsolaWebCOD</t>
        </is>
      </c>
      <c r="F18" s="10" t="inlineStr">
        <is>
          <t>C14</t>
        </is>
      </c>
      <c r="G18" s="10" t="inlineStr">
        <is>
          <t>— (soporte)</t>
        </is>
      </c>
      <c r="H18" s="9" t="inlineStr">
        <is>
          <t>R4, R10</t>
        </is>
      </c>
    </row>
    <row r="19" ht="21.75" customHeight="1">
      <c r="A19" s="38" t="n"/>
      <c r="B19" s="12" t="inlineStr">
        <is>
          <t>S5 Subsistema de Analítica de Balance y Pérdidas</t>
        </is>
      </c>
      <c r="C19" s="10" t="inlineStr">
        <is>
          <t>Procesamiento distribuido (batch)</t>
        </is>
      </c>
      <c r="D19" s="10" t="inlineStr">
        <is>
          <t>D5</t>
        </is>
      </c>
      <c r="E19" s="12" t="inlineStr">
        <is>
          <t>OrquestadorAnaliticaPerdidas</t>
        </is>
      </c>
      <c r="F19" s="10" t="inlineStr">
        <is>
          <t>C15</t>
        </is>
      </c>
      <c r="G19" s="10" t="inlineStr">
        <is>
          <t>R7.1, R7.6</t>
        </is>
      </c>
      <c r="H19" s="9" t="inlineStr">
        <is>
          <t>R7, R11</t>
        </is>
      </c>
    </row>
    <row r="20" ht="21.75" customHeight="1">
      <c r="A20" s="38" t="n"/>
      <c r="B20" s="38" t="n"/>
      <c r="C20" s="38" t="n"/>
      <c r="D20" s="38" t="n"/>
      <c r="E20" s="12" t="inlineStr">
        <is>
          <t>CalculadorBalanceTransformador</t>
        </is>
      </c>
      <c r="F20" s="10" t="inlineStr">
        <is>
          <t>C16</t>
        </is>
      </c>
      <c r="G20" s="10" t="inlineStr">
        <is>
          <t>R7.2, R7.3, R7.4</t>
        </is>
      </c>
      <c r="H20" s="9" t="inlineStr">
        <is>
          <t>R7, R13</t>
        </is>
      </c>
    </row>
    <row r="21" ht="21.75" customHeight="1">
      <c r="A21" s="38" t="n"/>
      <c r="B21" s="39" t="n"/>
      <c r="C21" s="39" t="n"/>
      <c r="D21" s="39" t="n"/>
      <c r="E21" s="12" t="inlineStr">
        <is>
          <t>AgregadorBalanceCircuito</t>
        </is>
      </c>
      <c r="F21" s="10" t="inlineStr">
        <is>
          <t>C17</t>
        </is>
      </c>
      <c r="G21" s="10" t="inlineStr">
        <is>
          <t>R7.5</t>
        </is>
      </c>
      <c r="H21" s="9" t="inlineStr">
        <is>
          <t>R7</t>
        </is>
      </c>
    </row>
    <row r="22" ht="21.75" customHeight="1">
      <c r="A22" s="38" t="n"/>
      <c r="B22" s="12" t="inlineStr">
        <is>
          <t>S6 Subsistema de Administración y Seguridad</t>
        </is>
      </c>
      <c r="C22" s="10" t="inlineStr">
        <is>
          <t>Servicios transversales</t>
        </is>
      </c>
      <c r="D22" s="10" t="inlineStr">
        <is>
          <t>D6</t>
        </is>
      </c>
      <c r="E22" s="12" t="inlineStr">
        <is>
          <t>GestorUsuariosRoles</t>
        </is>
      </c>
      <c r="F22" s="10" t="inlineStr">
        <is>
          <t>C18</t>
        </is>
      </c>
      <c r="G22" s="10" t="inlineStr">
        <is>
          <t>R3.1, R3.2, R3.3</t>
        </is>
      </c>
      <c r="H22" s="9" t="inlineStr">
        <is>
          <t>R3</t>
        </is>
      </c>
    </row>
    <row r="23" ht="21.75" customHeight="1">
      <c r="A23" s="38" t="n"/>
      <c r="B23" s="38" t="n"/>
      <c r="C23" s="38" t="n"/>
      <c r="D23" s="38" t="n"/>
      <c r="E23" s="12" t="inlineStr">
        <is>
          <t>AutenticadorSesiones</t>
        </is>
      </c>
      <c r="F23" s="10" t="inlineStr">
        <is>
          <t>C19</t>
        </is>
      </c>
      <c r="G23" s="10" t="inlineStr">
        <is>
          <t>R10.1, R10.2, R10.3</t>
        </is>
      </c>
      <c r="H23" s="9" t="inlineStr">
        <is>
          <t>R10, R15</t>
        </is>
      </c>
    </row>
    <row r="24" ht="21.75" customHeight="1">
      <c r="A24" s="38" t="n"/>
      <c r="B24" s="38" t="n"/>
      <c r="C24" s="38" t="n"/>
      <c r="D24" s="38" t="n"/>
      <c r="E24" s="12" t="inlineStr">
        <is>
          <t>AutorizadorAcceso</t>
        </is>
      </c>
      <c r="F24" s="10" t="inlineStr">
        <is>
          <t>C20</t>
        </is>
      </c>
      <c r="G24" s="10" t="inlineStr">
        <is>
          <t>R3.4</t>
        </is>
      </c>
      <c r="H24" s="9" t="inlineStr">
        <is>
          <t>R3, R10</t>
        </is>
      </c>
    </row>
    <row r="25" ht="21.75" customHeight="1">
      <c r="A25" s="38" t="n"/>
      <c r="B25" s="39" t="n"/>
      <c r="C25" s="39" t="n"/>
      <c r="D25" s="39" t="n"/>
      <c r="E25" s="12" t="inlineStr">
        <is>
          <t>GestorAsignaciones</t>
        </is>
      </c>
      <c r="F25" s="10" t="inlineStr">
        <is>
          <t>C21</t>
        </is>
      </c>
      <c r="G25" s="10" t="inlineStr">
        <is>
          <t>R8.1</t>
        </is>
      </c>
      <c r="H25" s="9" t="inlineStr">
        <is>
          <t>R9</t>
        </is>
      </c>
    </row>
    <row r="26" ht="21.75" customHeight="1">
      <c r="A26" s="38" t="n"/>
      <c r="B26" s="12" t="inlineStr">
        <is>
          <t>S7 Subsistema de Servicios Abiertos (APIs)</t>
        </is>
      </c>
      <c r="C26" s="10" t="inlineStr">
        <is>
          <t>APIs / interoperabilidad</t>
        </is>
      </c>
      <c r="D26" s="10" t="inlineStr">
        <is>
          <t>D7</t>
        </is>
      </c>
      <c r="E26" s="12" t="inlineStr">
        <is>
          <t>GatewayAPIServicios</t>
        </is>
      </c>
      <c r="F26" s="10" t="inlineStr">
        <is>
          <t>C22</t>
        </is>
      </c>
      <c r="G26" s="10" t="inlineStr">
        <is>
          <t>R14.1, R14.2, R14.3</t>
        </is>
      </c>
      <c r="H26" s="9" t="inlineStr">
        <is>
          <t>R14, R10</t>
        </is>
      </c>
    </row>
    <row r="27" ht="21.75" customHeight="1">
      <c r="A27" s="38" t="n"/>
      <c r="B27" s="39" t="n"/>
      <c r="C27" s="39" t="n"/>
      <c r="D27" s="39" t="n"/>
      <c r="E27" s="12" t="inlineStr">
        <is>
          <t>CalculadorIndicesCalidad</t>
        </is>
      </c>
      <c r="F27" s="10" t="inlineStr">
        <is>
          <t>C23</t>
        </is>
      </c>
      <c r="G27" s="10" t="inlineStr">
        <is>
          <t>R14.4</t>
        </is>
      </c>
      <c r="H27" s="9" t="inlineStr">
        <is>
          <t>R14</t>
        </is>
      </c>
    </row>
    <row r="28" ht="21.75" customHeight="1">
      <c r="A28" s="38" t="n"/>
      <c r="B28" s="12" t="inlineStr">
        <is>
          <t>S8 Subsistema de Terminal de Campo</t>
        </is>
      </c>
      <c r="C28" s="10" t="inlineStr">
        <is>
          <t>Dispositivo móvil</t>
        </is>
      </c>
      <c r="D28" s="10" t="inlineStr">
        <is>
          <t>D3</t>
        </is>
      </c>
      <c r="E28" s="12" t="inlineStr">
        <is>
          <t>AplicacionTerminalCampo</t>
        </is>
      </c>
      <c r="F28" s="10" t="inlineStr">
        <is>
          <t>C24</t>
        </is>
      </c>
      <c r="G28" s="10" t="inlineStr">
        <is>
          <t>R1.7, R1.8</t>
        </is>
      </c>
      <c r="H28" s="9" t="inlineStr">
        <is>
          <t>R2, R1</t>
        </is>
      </c>
    </row>
    <row r="29" ht="21.75" customHeight="1">
      <c r="A29" s="39" t="n"/>
      <c r="B29" s="39" t="n"/>
      <c r="C29" s="39" t="n"/>
      <c r="D29" s="39" t="n"/>
      <c r="E29" s="12" t="inlineStr">
        <is>
          <t>ControladorBotonesTerminal</t>
        </is>
      </c>
      <c r="F29" s="10" t="inlineStr">
        <is>
          <t>C25</t>
        </is>
      </c>
      <c r="G29" s="10" t="inlineStr">
        <is>
          <t>— (soporte)</t>
        </is>
      </c>
      <c r="H29" s="9" t="inlineStr">
        <is>
          <t>R2</t>
        </is>
      </c>
    </row>
    <row r="31">
      <c r="A31" s="30" t="inlineStr">
        <is>
          <t>Misión de cada subsistema</t>
        </is>
      </c>
    </row>
    <row r="32" ht="24" customFormat="1" customHeight="1" s="16">
      <c r="A32" s="33" t="inlineStr">
        <is>
          <t>Cód.</t>
        </is>
      </c>
      <c r="B32" s="33" t="inlineStr">
        <is>
          <t>Subsistema</t>
        </is>
      </c>
      <c r="C32" s="33" t="inlineStr">
        <is>
          <t>Capa</t>
        </is>
      </c>
      <c r="D32" s="33" t="inlineStr">
        <is>
          <t>Dominio</t>
        </is>
      </c>
      <c r="E32" s="33" t="inlineStr">
        <is>
          <t>Responsabilidad</t>
        </is>
      </c>
      <c r="F32" s="40" t="n"/>
      <c r="G32" s="40" t="n"/>
      <c r="H32" s="37" t="n"/>
    </row>
    <row r="33" ht="30" customHeight="1">
      <c r="A33" s="8" t="inlineStr">
        <is>
          <t>S1</t>
        </is>
      </c>
      <c r="B33" s="9" t="inlineStr">
        <is>
          <t>Subsistema de Ingesta y Mensajería AMI</t>
        </is>
      </c>
      <c r="C33" s="32" t="inlineStr">
        <is>
          <t>Borde -&gt; mensajería</t>
        </is>
      </c>
      <c r="D33" s="10" t="inlineStr">
        <is>
          <t>D1</t>
        </is>
      </c>
      <c r="E33" s="9" t="inlineStr">
        <is>
          <t>Recibir y decodificar millones de datagramas diarios y entregarlos al resto del sistema sin pérdida.</t>
        </is>
      </c>
      <c r="F33" s="40" t="n"/>
      <c r="G33" s="40" t="n"/>
      <c r="H33" s="37" t="n"/>
    </row>
    <row r="34" ht="30" customHeight="1">
      <c r="A34" s="8" t="inlineStr">
        <is>
          <t>S2</t>
        </is>
      </c>
      <c r="B34" s="9" t="inlineStr">
        <is>
          <t>Subsistema de Procesamiento de Eventos y Alarmas</t>
        </is>
      </c>
      <c r="C34" s="10" t="inlineStr">
        <is>
          <t>Procesamiento</t>
        </is>
      </c>
      <c r="D34" s="10" t="inlineStr">
        <is>
          <t>D2</t>
        </is>
      </c>
      <c r="E34" s="9" t="inlineStr">
        <is>
          <t>Clasificar, priorizar, registrar y notificar eventos; administrar el catálogo de eventos.</t>
        </is>
      </c>
      <c r="F34" s="40" t="n"/>
      <c r="G34" s="40" t="n"/>
      <c r="H34" s="37" t="n"/>
    </row>
    <row r="35" ht="30" customHeight="1">
      <c r="A35" s="8" t="inlineStr">
        <is>
          <t>S3</t>
        </is>
      </c>
      <c r="B35" s="9" t="inlineStr">
        <is>
          <t>Subsistema de Almacenamiento y Consulta de Telemetría</t>
        </is>
      </c>
      <c r="C35" s="10" t="inlineStr">
        <is>
          <t>Almacenamiento</t>
        </is>
      </c>
      <c r="D35" s="10" t="inlineStr">
        <is>
          <t>D1</t>
        </is>
      </c>
      <c r="E35" s="9" t="inlineStr">
        <is>
          <t>Persistir series de tiempo particionadas y servir consultas de histórico y tiempo real.</t>
        </is>
      </c>
      <c r="F35" s="40" t="n"/>
      <c r="G35" s="40" t="n"/>
      <c r="H35" s="37" t="n"/>
    </row>
    <row r="36" ht="30" customHeight="1">
      <c r="A36" s="8" t="inlineStr">
        <is>
          <t>S4</t>
        </is>
      </c>
      <c r="B36" s="9" t="inlineStr">
        <is>
          <t>Subsistema de Monitoreo Georreferenciado</t>
        </is>
      </c>
      <c r="C36" s="10" t="inlineStr">
        <is>
          <t>Presentación / tiempo real</t>
        </is>
      </c>
      <c r="D36" s="10" t="inlineStr">
        <is>
          <t>D4</t>
        </is>
      </c>
      <c r="E36" s="9" t="inlineStr">
        <is>
          <t>Mapa de Cali en tiempo real y vistas por operador; consola web del COD.</t>
        </is>
      </c>
      <c r="F36" s="40" t="n"/>
      <c r="G36" s="40" t="n"/>
      <c r="H36" s="37" t="n"/>
    </row>
    <row r="37" ht="30" customHeight="1">
      <c r="A37" s="8" t="inlineStr">
        <is>
          <t>S5</t>
        </is>
      </c>
      <c r="B37" s="9" t="inlineStr">
        <is>
          <t>Subsistema de Analítica de Balance y Pérdidas</t>
        </is>
      </c>
      <c r="C37" s="10" t="inlineStr">
        <is>
          <t>Procesamiento distribuido (batch)</t>
        </is>
      </c>
      <c r="D37" s="10" t="inlineStr">
        <is>
          <t>D5</t>
        </is>
      </c>
      <c r="E37" s="9" t="inlineStr">
        <is>
          <t>Balance mensual y pérdidas no técnicas por transformador y circuito (agrupa R7 y R11).</t>
        </is>
      </c>
      <c r="F37" s="40" t="n"/>
      <c r="G37" s="40" t="n"/>
      <c r="H37" s="37" t="n"/>
    </row>
    <row r="38" ht="30" customHeight="1">
      <c r="A38" s="8" t="inlineStr">
        <is>
          <t>S6</t>
        </is>
      </c>
      <c r="B38" s="9" t="inlineStr">
        <is>
          <t>Subsistema de Administración y Seguridad</t>
        </is>
      </c>
      <c r="C38" s="10" t="inlineStr">
        <is>
          <t>Servicios transversales</t>
        </is>
      </c>
      <c r="D38" s="10" t="inlineStr">
        <is>
          <t>D6</t>
        </is>
      </c>
      <c r="E38" s="9" t="inlineStr">
        <is>
          <t>Usuarios, roles, permisos, sesiones y asignación de zonas.</t>
        </is>
      </c>
      <c r="F38" s="40" t="n"/>
      <c r="G38" s="40" t="n"/>
      <c r="H38" s="37" t="n"/>
    </row>
    <row r="39" ht="30" customHeight="1">
      <c r="A39" s="8" t="inlineStr">
        <is>
          <t>S7</t>
        </is>
      </c>
      <c r="B39" s="9" t="inlineStr">
        <is>
          <t>Subsistema de Servicios Abiertos (APIs)</t>
        </is>
      </c>
      <c r="C39" s="10" t="inlineStr">
        <is>
          <t>APIs / interoperabilidad</t>
        </is>
      </c>
      <c r="D39" s="10" t="inlineStr">
        <is>
          <t>D7</t>
        </is>
      </c>
      <c r="E39" s="9" t="inlineStr">
        <is>
          <t>APIs para ciudadanos, empresas usuarias y entes de regulación.</t>
        </is>
      </c>
      <c r="F39" s="40" t="n"/>
      <c r="G39" s="40" t="n"/>
      <c r="H39" s="37" t="n"/>
    </row>
    <row r="40" ht="30" customHeight="1">
      <c r="A40" s="8" t="inlineStr">
        <is>
          <t>S8</t>
        </is>
      </c>
      <c r="B40" s="9" t="inlineStr">
        <is>
          <t>Subsistema de Terminal de Campo</t>
        </is>
      </c>
      <c r="C40" s="10" t="inlineStr">
        <is>
          <t>Dispositivo móvil</t>
        </is>
      </c>
      <c r="D40" s="10" t="inlineStr">
        <is>
          <t>D3</t>
        </is>
      </c>
      <c r="E40" s="9" t="inlineStr">
        <is>
          <t>Aplicación de la terminal portátil del técnico de cuadrilla.</t>
        </is>
      </c>
      <c r="F40" s="40" t="n"/>
      <c r="G40" s="40" t="n"/>
      <c r="H40" s="37" t="n"/>
    </row>
    <row r="42" ht="25.5" customHeight="1">
      <c r="A42" s="4" t="inlineStr">
        <is>
          <t>Criterios: (1) separación de preocupaciones: ingesta, mensajería, procesamiento de eventos, almacenamiento, monitoreo, analítica, seguridad, APIs y dispositivo de campo quedan en subsistemas distintos; (2) alta cohesión: cada componente agrupa RF de un mismo dominio; (3) bajo acoplamiento: los componentes se conocen solo por interfaces con nombre (hoja «Interfaces y Protocolos»).</t>
        </is>
      </c>
    </row>
    <row r="43" ht="25.5" customHeight="1">
      <c r="A43" s="4" t="inlineStr">
        <is>
          <t>Componentes de soporte sin RF propio (C03, C13, C14, C25): se justifican por RNF y dependencias — C03 por R11/R13/R6 (desacople y absorción de picos), C13 por R4/R7/R9 (topología y georreferencia, CSV del piloto), C14 por R4/R10 (presentación) y C25 por R2 (botones físicos).</t>
        </is>
      </c>
    </row>
    <row r="44" ht="25.5" customHeight="1">
      <c r="A44" s="4" t="inlineStr">
        <is>
          <t>Los RNF R11 y R13 (disponibilidad y escalabilidad horizontal) impulsan que C01, C02, C04 y C16 sean componentes sin estado, escalables por réplica, y que C03 y C08 sean particionados y replicados. R5 y R15 (proceso) no generan componentes: R15 aporta los estados que implementan C05 y C19.</t>
        </is>
      </c>
    </row>
  </sheetData>
  <mergeCells count="39">
    <mergeCell ref="B22:B25"/>
    <mergeCell ref="D22:D25"/>
    <mergeCell ref="B12:B13"/>
    <mergeCell ref="D5:D7"/>
    <mergeCell ref="A5:A29"/>
    <mergeCell ref="A1:H1"/>
    <mergeCell ref="E32:H32"/>
    <mergeCell ref="C26:C27"/>
    <mergeCell ref="E37:H37"/>
    <mergeCell ref="B5:B7"/>
    <mergeCell ref="C22:C25"/>
    <mergeCell ref="B8:B11"/>
    <mergeCell ref="C12:C13"/>
    <mergeCell ref="C19:C21"/>
    <mergeCell ref="D14:D18"/>
    <mergeCell ref="D19:D21"/>
    <mergeCell ref="D12:D13"/>
    <mergeCell ref="B28:B29"/>
    <mergeCell ref="E33:H33"/>
    <mergeCell ref="D28:D29"/>
    <mergeCell ref="E39:H39"/>
    <mergeCell ref="E35:H35"/>
    <mergeCell ref="A2:H2"/>
    <mergeCell ref="C8:C11"/>
    <mergeCell ref="E38:H38"/>
    <mergeCell ref="A42:H42"/>
    <mergeCell ref="C5:C7"/>
    <mergeCell ref="C14:C18"/>
    <mergeCell ref="E40:H40"/>
    <mergeCell ref="B14:B18"/>
    <mergeCell ref="D8:D11"/>
    <mergeCell ref="A43:H43"/>
    <mergeCell ref="E34:H34"/>
    <mergeCell ref="D26:D27"/>
    <mergeCell ref="C28:C29"/>
    <mergeCell ref="A44:H44"/>
    <mergeCell ref="B19:B21"/>
    <mergeCell ref="B26:B27"/>
    <mergeCell ref="E36:H36"/>
  </mergeCells>
  <pageMargins left="0.75" right="0.75" top="1" bottom="1" header="0.511811023622047" footer="0.511811023622047"/>
  <pageSetup orientation="landscape" paperSize="9" fitToHeight="0" fitToWidth="1" horizontalDpi="300" verticalDpi="300"/>
</worksheet>
</file>

<file path=xl/worksheets/sheet4.xml><?xml version="1.0" encoding="utf-8"?>
<worksheet xmlns="http://schemas.openxmlformats.org/spreadsheetml/2006/main">
  <sheetPr>
    <outlinePr summaryBelow="1" summaryRight="1"/>
    <pageSetUpPr fitToPage="1"/>
  </sheetPr>
  <dimension ref="A1:AD41"/>
  <sheetViews>
    <sheetView zoomScaleNormal="100" workbookViewId="0">
      <pane xSplit="5" ySplit="4" topLeftCell="F5" activePane="bottomRight" state="frozen"/>
      <selection pane="topRight" activeCell="F1" sqref="F1"/>
      <selection pane="bottomLeft" activeCell="A5" sqref="A5"/>
      <selection pane="bottomRight" activeCell="A4" sqref="A4:XFD4"/>
    </sheetView>
  </sheetViews>
  <sheetFormatPr baseColWidth="10" defaultColWidth="8.6640625" defaultRowHeight="14.4"/>
  <cols>
    <col width="8" customWidth="1" min="1" max="1"/>
    <col width="10" customWidth="1" min="2" max="2"/>
    <col width="9" customWidth="1" min="3" max="3"/>
    <col width="42" customWidth="1" min="4" max="4"/>
    <col width="32" customWidth="1" min="5" max="5"/>
    <col width="4.21875" customWidth="1" min="6" max="30"/>
  </cols>
  <sheetData>
    <row r="1" ht="21.75" customHeight="1">
      <c r="A1" s="7" t="n"/>
    </row>
    <row r="2">
      <c r="A2" s="6" t="n"/>
    </row>
    <row r="4" ht="120" customFormat="1" customHeight="1" s="16">
      <c r="A4" s="33" t="inlineStr">
        <is>
          <t>ID RF</t>
        </is>
      </c>
      <c r="B4" s="33" t="inlineStr">
        <is>
          <t>Req. origen</t>
        </is>
      </c>
      <c r="C4" s="33" t="inlineStr">
        <is>
          <t>Dominio</t>
        </is>
      </c>
      <c r="D4" s="33" t="inlineStr">
        <is>
          <t>Subsistema (bloque)</t>
        </is>
      </c>
      <c r="E4" s="33" t="inlineStr">
        <is>
          <t>Componente responsable</t>
        </is>
      </c>
      <c r="F4" s="34" t="inlineStr">
        <is>
          <t>ReceptorDatagramasAMI</t>
        </is>
      </c>
      <c r="G4" s="34" t="inlineStr">
        <is>
          <t>ParserDatagramaAMI</t>
        </is>
      </c>
      <c r="H4" s="34" t="inlineStr">
        <is>
          <t>BusMensajeriaTelemetria</t>
        </is>
      </c>
      <c r="I4" s="34" t="inlineStr">
        <is>
          <t>ClasificadorEventosRed</t>
        </is>
      </c>
      <c r="J4" s="34" t="inlineStr">
        <is>
          <t>GestorCicloVidaEventos</t>
        </is>
      </c>
      <c r="K4" s="34" t="inlineStr">
        <is>
          <t>NotificadorOperadores</t>
        </is>
      </c>
      <c r="L4" s="34" t="inlineStr">
        <is>
          <t>CatalogoEventos</t>
        </is>
      </c>
      <c r="M4" s="34" t="inlineStr">
        <is>
          <t>AlmacenSeriesTiempo</t>
        </is>
      </c>
      <c r="N4" s="34" t="inlineStr">
        <is>
          <t>ServicioConsultaTelemetria</t>
        </is>
      </c>
      <c r="O4" s="34" t="inlineStr">
        <is>
          <t>ServicioMapaRed</t>
        </is>
      </c>
      <c r="P4" s="34" t="inlineStr">
        <is>
          <t>ActualizadorTiempoReal</t>
        </is>
      </c>
      <c r="Q4" s="34" t="inlineStr">
        <is>
          <t>GestorVistaOperador</t>
        </is>
      </c>
      <c r="R4" s="34" t="inlineStr">
        <is>
          <t>CatalogoTopologiaRed</t>
        </is>
      </c>
      <c r="S4" s="34" t="inlineStr">
        <is>
          <t>ConsolaWebCOD</t>
        </is>
      </c>
      <c r="T4" s="34" t="inlineStr">
        <is>
          <t>OrquestadorAnaliticaPerdidas</t>
        </is>
      </c>
      <c r="U4" s="34" t="inlineStr">
        <is>
          <t>CalculadorBalanceTransformador</t>
        </is>
      </c>
      <c r="V4" s="34" t="inlineStr">
        <is>
          <t>AgregadorBalanceCircuito</t>
        </is>
      </c>
      <c r="W4" s="34" t="inlineStr">
        <is>
          <t>GestorUsuariosRoles</t>
        </is>
      </c>
      <c r="X4" s="34" t="inlineStr">
        <is>
          <t>AutenticadorSesiones</t>
        </is>
      </c>
      <c r="Y4" s="34" t="inlineStr">
        <is>
          <t>AutorizadorAcceso</t>
        </is>
      </c>
      <c r="Z4" s="34" t="inlineStr">
        <is>
          <t>GestorAsignaciones</t>
        </is>
      </c>
      <c r="AA4" s="34" t="inlineStr">
        <is>
          <t>GatewayAPIServicios</t>
        </is>
      </c>
      <c r="AB4" s="34" t="inlineStr">
        <is>
          <t>CalculadorIndicesCalidad</t>
        </is>
      </c>
      <c r="AC4" s="34" t="inlineStr">
        <is>
          <t>AplicacionTerminalCampo</t>
        </is>
      </c>
      <c r="AD4" s="34" t="inlineStr">
        <is>
          <t>ControladorBotonesTerminal</t>
        </is>
      </c>
    </row>
    <row r="5" ht="21.75" customHeight="1">
      <c r="A5" s="8" t="inlineStr">
        <is>
          <t>R6.1</t>
        </is>
      </c>
      <c r="B5" s="10" t="inlineStr">
        <is>
          <t>R6</t>
        </is>
      </c>
      <c r="C5" s="10" t="inlineStr">
        <is>
          <t>D1</t>
        </is>
      </c>
      <c r="D5" s="9" t="inlineStr">
        <is>
          <t>S1 Subsistema de Ingesta y Mensajería AMI</t>
        </is>
      </c>
      <c r="E5" s="12" t="inlineStr">
        <is>
          <t>ReceptorDatagramasAMI</t>
        </is>
      </c>
      <c r="F5" s="10" t="inlineStr">
        <is>
          <t>●</t>
        </is>
      </c>
      <c r="G5" s="10" t="n"/>
      <c r="H5" s="10" t="n"/>
      <c r="I5" s="10" t="n"/>
      <c r="J5" s="10" t="n"/>
      <c r="K5" s="10" t="n"/>
      <c r="L5" s="10" t="n"/>
      <c r="M5" s="10" t="n"/>
      <c r="N5" s="10" t="n"/>
      <c r="O5" s="10" t="n"/>
      <c r="P5" s="10" t="n"/>
      <c r="Q5" s="10" t="n"/>
      <c r="R5" s="10" t="n"/>
      <c r="S5" s="10" t="n"/>
      <c r="T5" s="10" t="n"/>
      <c r="U5" s="10" t="n"/>
      <c r="V5" s="10" t="n"/>
      <c r="W5" s="10" t="n"/>
      <c r="X5" s="10" t="n"/>
      <c r="Y5" s="10" t="n"/>
      <c r="Z5" s="10" t="n"/>
      <c r="AA5" s="10" t="n"/>
      <c r="AB5" s="10" t="n"/>
      <c r="AC5" s="10" t="n"/>
      <c r="AD5" s="10" t="n"/>
    </row>
    <row r="6" ht="21.75" customHeight="1">
      <c r="A6" s="8" t="inlineStr">
        <is>
          <t>R12.1</t>
        </is>
      </c>
      <c r="B6" s="10" t="inlineStr">
        <is>
          <t>R12</t>
        </is>
      </c>
      <c r="C6" s="10" t="inlineStr">
        <is>
          <t>D1</t>
        </is>
      </c>
      <c r="D6" s="9" t="inlineStr">
        <is>
          <t>S1 Subsistema de Ingesta y Mensajería AMI</t>
        </is>
      </c>
      <c r="E6" s="12" t="inlineStr">
        <is>
          <t>ParserDatagramaAMI</t>
        </is>
      </c>
      <c r="F6" s="10" t="n"/>
      <c r="G6" s="10" t="inlineStr">
        <is>
          <t>●</t>
        </is>
      </c>
      <c r="H6" s="10" t="n"/>
      <c r="I6" s="10" t="n"/>
      <c r="J6" s="10" t="n"/>
      <c r="K6" s="10" t="n"/>
      <c r="L6" s="10" t="n"/>
      <c r="M6" s="10" t="n"/>
      <c r="N6" s="10" t="n"/>
      <c r="O6" s="10" t="n"/>
      <c r="P6" s="10" t="n"/>
      <c r="Q6" s="10" t="n"/>
      <c r="R6" s="10" t="n"/>
      <c r="S6" s="10" t="n"/>
      <c r="T6" s="10" t="n"/>
      <c r="U6" s="10" t="n"/>
      <c r="V6" s="10" t="n"/>
      <c r="W6" s="10" t="n"/>
      <c r="X6" s="10" t="n"/>
      <c r="Y6" s="10" t="n"/>
      <c r="Z6" s="10" t="n"/>
      <c r="AA6" s="10" t="n"/>
      <c r="AB6" s="10" t="n"/>
      <c r="AC6" s="10" t="n"/>
      <c r="AD6" s="10" t="n"/>
    </row>
    <row r="7" ht="21.75" customHeight="1">
      <c r="A7" s="8" t="inlineStr">
        <is>
          <t>R6.2</t>
        </is>
      </c>
      <c r="B7" s="10" t="inlineStr">
        <is>
          <t>R6</t>
        </is>
      </c>
      <c r="C7" s="10" t="inlineStr">
        <is>
          <t>D1</t>
        </is>
      </c>
      <c r="D7" s="9" t="inlineStr">
        <is>
          <t>S3 Subsistema de Almacenamiento y Consulta de Telemetría</t>
        </is>
      </c>
      <c r="E7" s="12" t="inlineStr">
        <is>
          <t>AlmacenSeriesTiempo</t>
        </is>
      </c>
      <c r="F7" s="10" t="n"/>
      <c r="G7" s="10" t="n"/>
      <c r="H7" s="10" t="n"/>
      <c r="I7" s="10" t="n"/>
      <c r="J7" s="10" t="n"/>
      <c r="K7" s="10" t="n"/>
      <c r="L7" s="10" t="n"/>
      <c r="M7" s="10" t="inlineStr">
        <is>
          <t>●</t>
        </is>
      </c>
      <c r="N7" s="10" t="n"/>
      <c r="O7" s="10" t="n"/>
      <c r="P7" s="10" t="n"/>
      <c r="Q7" s="10" t="n"/>
      <c r="R7" s="10" t="n"/>
      <c r="S7" s="10" t="n"/>
      <c r="T7" s="10" t="n"/>
      <c r="U7" s="10" t="n"/>
      <c r="V7" s="10" t="n"/>
      <c r="W7" s="10" t="n"/>
      <c r="X7" s="10" t="n"/>
      <c r="Y7" s="10" t="n"/>
      <c r="Z7" s="10" t="n"/>
      <c r="AA7" s="10" t="n"/>
      <c r="AB7" s="10" t="n"/>
      <c r="AC7" s="10" t="n"/>
      <c r="AD7" s="10" t="n"/>
    </row>
    <row r="8" ht="21.75" customHeight="1">
      <c r="A8" s="8" t="inlineStr">
        <is>
          <t>R6.3</t>
        </is>
      </c>
      <c r="B8" s="10" t="inlineStr">
        <is>
          <t>R6</t>
        </is>
      </c>
      <c r="C8" s="10" t="inlineStr">
        <is>
          <t>D1</t>
        </is>
      </c>
      <c r="D8" s="9" t="inlineStr">
        <is>
          <t>S3 Subsistema de Almacenamiento y Consulta de Telemetría</t>
        </is>
      </c>
      <c r="E8" s="12" t="inlineStr">
        <is>
          <t>ServicioConsultaTelemetria</t>
        </is>
      </c>
      <c r="F8" s="10" t="n"/>
      <c r="G8" s="10" t="n"/>
      <c r="H8" s="10" t="n"/>
      <c r="I8" s="10" t="n"/>
      <c r="J8" s="10" t="n"/>
      <c r="K8" s="10" t="n"/>
      <c r="L8" s="10" t="n"/>
      <c r="M8" s="10" t="n"/>
      <c r="N8" s="10" t="inlineStr">
        <is>
          <t>●</t>
        </is>
      </c>
      <c r="O8" s="10" t="n"/>
      <c r="P8" s="10" t="n"/>
      <c r="Q8" s="10" t="n"/>
      <c r="R8" s="10" t="n"/>
      <c r="S8" s="10" t="n"/>
      <c r="T8" s="10" t="n"/>
      <c r="U8" s="10" t="n"/>
      <c r="V8" s="10" t="n"/>
      <c r="W8" s="10" t="n"/>
      <c r="X8" s="10" t="n"/>
      <c r="Y8" s="10" t="n"/>
      <c r="Z8" s="10" t="n"/>
      <c r="AA8" s="10" t="n"/>
      <c r="AB8" s="10" t="n"/>
      <c r="AC8" s="10" t="n"/>
      <c r="AD8" s="10" t="n"/>
    </row>
    <row r="9" ht="21.75" customHeight="1">
      <c r="A9" s="8" t="inlineStr">
        <is>
          <t>R1.1</t>
        </is>
      </c>
      <c r="B9" s="10" t="inlineStr">
        <is>
          <t>R1</t>
        </is>
      </c>
      <c r="C9" s="10" t="inlineStr">
        <is>
          <t>D2</t>
        </is>
      </c>
      <c r="D9" s="9" t="inlineStr">
        <is>
          <t>S2 Subsistema de Procesamiento de Eventos y Alarmas</t>
        </is>
      </c>
      <c r="E9" s="12" t="inlineStr">
        <is>
          <t>ClasificadorEventosRed</t>
        </is>
      </c>
      <c r="F9" s="10" t="n"/>
      <c r="G9" s="10" t="n"/>
      <c r="H9" s="10" t="n"/>
      <c r="I9" s="10" t="inlineStr">
        <is>
          <t>●</t>
        </is>
      </c>
      <c r="J9" s="10" t="n"/>
      <c r="K9" s="10" t="n"/>
      <c r="L9" s="10" t="n"/>
      <c r="M9" s="10" t="n"/>
      <c r="N9" s="10" t="n"/>
      <c r="O9" s="10" t="n"/>
      <c r="P9" s="10" t="n"/>
      <c r="Q9" s="10" t="n"/>
      <c r="R9" s="10" t="n"/>
      <c r="S9" s="10" t="n"/>
      <c r="T9" s="10" t="n"/>
      <c r="U9" s="10" t="n"/>
      <c r="V9" s="10" t="n"/>
      <c r="W9" s="10" t="n"/>
      <c r="X9" s="10" t="n"/>
      <c r="Y9" s="10" t="n"/>
      <c r="Z9" s="10" t="n"/>
      <c r="AA9" s="10" t="n"/>
      <c r="AB9" s="10" t="n"/>
      <c r="AC9" s="10" t="n"/>
      <c r="AD9" s="10" t="n"/>
    </row>
    <row r="10" ht="21.75" customHeight="1">
      <c r="A10" s="8" t="inlineStr">
        <is>
          <t>R1.2</t>
        </is>
      </c>
      <c r="B10" s="10" t="inlineStr">
        <is>
          <t>R1</t>
        </is>
      </c>
      <c r="C10" s="10" t="inlineStr">
        <is>
          <t>D2</t>
        </is>
      </c>
      <c r="D10" s="9" t="inlineStr">
        <is>
          <t>S2 Subsistema de Procesamiento de Eventos y Alarmas</t>
        </is>
      </c>
      <c r="E10" s="12" t="inlineStr">
        <is>
          <t>ClasificadorEventosRed</t>
        </is>
      </c>
      <c r="F10" s="10" t="n"/>
      <c r="G10" s="10" t="n"/>
      <c r="H10" s="10" t="n"/>
      <c r="I10" s="10" t="inlineStr">
        <is>
          <t>●</t>
        </is>
      </c>
      <c r="J10" s="10" t="n"/>
      <c r="K10" s="10" t="n"/>
      <c r="L10" s="10" t="n"/>
      <c r="M10" s="10" t="n"/>
      <c r="N10" s="10" t="n"/>
      <c r="O10" s="10" t="n"/>
      <c r="P10" s="10" t="n"/>
      <c r="Q10" s="10" t="n"/>
      <c r="R10" s="10" t="n"/>
      <c r="S10" s="10" t="n"/>
      <c r="T10" s="10" t="n"/>
      <c r="U10" s="10" t="n"/>
      <c r="V10" s="10" t="n"/>
      <c r="W10" s="10" t="n"/>
      <c r="X10" s="10" t="n"/>
      <c r="Y10" s="10" t="n"/>
      <c r="Z10" s="10" t="n"/>
      <c r="AA10" s="10" t="n"/>
      <c r="AB10" s="10" t="n"/>
      <c r="AC10" s="10" t="n"/>
      <c r="AD10" s="10" t="n"/>
    </row>
    <row r="11" ht="21.75" customHeight="1">
      <c r="A11" s="8" t="inlineStr">
        <is>
          <t>R1.3</t>
        </is>
      </c>
      <c r="B11" s="10" t="inlineStr">
        <is>
          <t>R1, R15</t>
        </is>
      </c>
      <c r="C11" s="10" t="inlineStr">
        <is>
          <t>D2</t>
        </is>
      </c>
      <c r="D11" s="9" t="inlineStr">
        <is>
          <t>S2 Subsistema de Procesamiento de Eventos y Alarmas</t>
        </is>
      </c>
      <c r="E11" s="12" t="inlineStr">
        <is>
          <t>GestorCicloVidaEventos</t>
        </is>
      </c>
      <c r="F11" s="10" t="n"/>
      <c r="G11" s="10" t="n"/>
      <c r="H11" s="10" t="n"/>
      <c r="I11" s="10" t="n"/>
      <c r="J11" s="10" t="inlineStr">
        <is>
          <t>●</t>
        </is>
      </c>
      <c r="K11" s="10" t="n"/>
      <c r="L11" s="10" t="n"/>
      <c r="M11" s="10" t="n"/>
      <c r="N11" s="10" t="n"/>
      <c r="O11" s="10" t="n"/>
      <c r="P11" s="10" t="n"/>
      <c r="Q11" s="10" t="n"/>
      <c r="R11" s="10" t="n"/>
      <c r="S11" s="10" t="n"/>
      <c r="T11" s="10" t="n"/>
      <c r="U11" s="10" t="n"/>
      <c r="V11" s="10" t="n"/>
      <c r="W11" s="10" t="n"/>
      <c r="X11" s="10" t="n"/>
      <c r="Y11" s="10" t="n"/>
      <c r="Z11" s="10" t="n"/>
      <c r="AA11" s="10" t="n"/>
      <c r="AB11" s="10" t="n"/>
      <c r="AC11" s="10" t="n"/>
      <c r="AD11" s="10" t="n"/>
    </row>
    <row r="12" ht="21.75" customHeight="1">
      <c r="A12" s="8" t="inlineStr">
        <is>
          <t>R1.4</t>
        </is>
      </c>
      <c r="B12" s="10" t="inlineStr">
        <is>
          <t>R1, R15</t>
        </is>
      </c>
      <c r="C12" s="10" t="inlineStr">
        <is>
          <t>D2</t>
        </is>
      </c>
      <c r="D12" s="9" t="inlineStr">
        <is>
          <t>S2 Subsistema de Procesamiento de Eventos y Alarmas</t>
        </is>
      </c>
      <c r="E12" s="12" t="inlineStr">
        <is>
          <t>NotificadorOperadores</t>
        </is>
      </c>
      <c r="F12" s="10" t="n"/>
      <c r="G12" s="10" t="n"/>
      <c r="H12" s="10" t="n"/>
      <c r="I12" s="10" t="n"/>
      <c r="J12" s="10" t="n"/>
      <c r="K12" s="10" t="inlineStr">
        <is>
          <t>●</t>
        </is>
      </c>
      <c r="L12" s="10" t="n"/>
      <c r="M12" s="10" t="n"/>
      <c r="N12" s="10" t="n"/>
      <c r="O12" s="10" t="n"/>
      <c r="P12" s="10" t="n"/>
      <c r="Q12" s="10" t="n"/>
      <c r="R12" s="10" t="n"/>
      <c r="S12" s="10" t="n"/>
      <c r="T12" s="10" t="n"/>
      <c r="U12" s="10" t="n"/>
      <c r="V12" s="10" t="n"/>
      <c r="W12" s="10" t="n"/>
      <c r="X12" s="10" t="n"/>
      <c r="Y12" s="10" t="n"/>
      <c r="Z12" s="10" t="n"/>
      <c r="AA12" s="10" t="n"/>
      <c r="AB12" s="10" t="n"/>
      <c r="AC12" s="10" t="n"/>
      <c r="AD12" s="10" t="n"/>
    </row>
    <row r="13" ht="21.75" customHeight="1">
      <c r="A13" s="8" t="inlineStr">
        <is>
          <t>R1.5</t>
        </is>
      </c>
      <c r="B13" s="10" t="inlineStr">
        <is>
          <t>R1, R15</t>
        </is>
      </c>
      <c r="C13" s="10" t="inlineStr">
        <is>
          <t>D2</t>
        </is>
      </c>
      <c r="D13" s="9" t="inlineStr">
        <is>
          <t>S2 Subsistema de Procesamiento de Eventos y Alarmas</t>
        </is>
      </c>
      <c r="E13" s="12" t="inlineStr">
        <is>
          <t>GestorCicloVidaEventos</t>
        </is>
      </c>
      <c r="F13" s="10" t="n"/>
      <c r="G13" s="10" t="n"/>
      <c r="H13" s="10" t="n"/>
      <c r="I13" s="10" t="n"/>
      <c r="J13" s="10" t="inlineStr">
        <is>
          <t>●</t>
        </is>
      </c>
      <c r="K13" s="10" t="n"/>
      <c r="L13" s="10" t="n"/>
      <c r="M13" s="10" t="n"/>
      <c r="N13" s="10" t="n"/>
      <c r="O13" s="10" t="n"/>
      <c r="P13" s="10" t="n"/>
      <c r="Q13" s="10" t="n"/>
      <c r="R13" s="10" t="n"/>
      <c r="S13" s="10" t="n"/>
      <c r="T13" s="10" t="n"/>
      <c r="U13" s="10" t="n"/>
      <c r="V13" s="10" t="n"/>
      <c r="W13" s="10" t="n"/>
      <c r="X13" s="10" t="n"/>
      <c r="Y13" s="10" t="n"/>
      <c r="Z13" s="10" t="n"/>
      <c r="AA13" s="10" t="n"/>
      <c r="AB13" s="10" t="n"/>
      <c r="AC13" s="10" t="n"/>
      <c r="AD13" s="10" t="n"/>
    </row>
    <row r="14" ht="21.75" customHeight="1">
      <c r="A14" s="8" t="inlineStr">
        <is>
          <t>R1.6</t>
        </is>
      </c>
      <c r="B14" s="10" t="inlineStr">
        <is>
          <t>R1</t>
        </is>
      </c>
      <c r="C14" s="10" t="inlineStr">
        <is>
          <t>D2</t>
        </is>
      </c>
      <c r="D14" s="9" t="inlineStr">
        <is>
          <t>S2 Subsistema de Procesamiento de Eventos y Alarmas</t>
        </is>
      </c>
      <c r="E14" s="12" t="inlineStr">
        <is>
          <t>CatalogoEventos</t>
        </is>
      </c>
      <c r="F14" s="10" t="n"/>
      <c r="G14" s="10" t="n"/>
      <c r="H14" s="10" t="n"/>
      <c r="I14" s="10" t="n"/>
      <c r="J14" s="10" t="n"/>
      <c r="K14" s="10" t="n"/>
      <c r="L14" s="10" t="inlineStr">
        <is>
          <t>●</t>
        </is>
      </c>
      <c r="M14" s="10" t="n"/>
      <c r="N14" s="10" t="n"/>
      <c r="O14" s="10" t="n"/>
      <c r="P14" s="10" t="n"/>
      <c r="Q14" s="10" t="n"/>
      <c r="R14" s="10" t="n"/>
      <c r="S14" s="10" t="n"/>
      <c r="T14" s="10" t="n"/>
      <c r="U14" s="10" t="n"/>
      <c r="V14" s="10" t="n"/>
      <c r="W14" s="10" t="n"/>
      <c r="X14" s="10" t="n"/>
      <c r="Y14" s="10" t="n"/>
      <c r="Z14" s="10" t="n"/>
      <c r="AA14" s="10" t="n"/>
      <c r="AB14" s="10" t="n"/>
      <c r="AC14" s="10" t="n"/>
      <c r="AD14" s="10" t="n"/>
    </row>
    <row r="15" ht="21.75" customHeight="1">
      <c r="A15" s="8" t="inlineStr">
        <is>
          <t>R1.7</t>
        </is>
      </c>
      <c r="B15" s="10" t="inlineStr">
        <is>
          <t>R1</t>
        </is>
      </c>
      <c r="C15" s="10" t="inlineStr">
        <is>
          <t>D3</t>
        </is>
      </c>
      <c r="D15" s="9" t="inlineStr">
        <is>
          <t>S8 Subsistema de Terminal de Campo</t>
        </is>
      </c>
      <c r="E15" s="12" t="inlineStr">
        <is>
          <t>AplicacionTerminalCampo</t>
        </is>
      </c>
      <c r="F15" s="10" t="n"/>
      <c r="G15" s="10" t="n"/>
      <c r="H15" s="10" t="n"/>
      <c r="I15" s="10" t="n"/>
      <c r="J15" s="10" t="n"/>
      <c r="K15" s="10" t="n"/>
      <c r="L15" s="10" t="n"/>
      <c r="M15" s="10" t="n"/>
      <c r="N15" s="10" t="n"/>
      <c r="O15" s="10" t="n"/>
      <c r="P15" s="10" t="n"/>
      <c r="Q15" s="10" t="n"/>
      <c r="R15" s="10" t="n"/>
      <c r="S15" s="10" t="n"/>
      <c r="T15" s="10" t="n"/>
      <c r="U15" s="10" t="n"/>
      <c r="V15" s="10" t="n"/>
      <c r="W15" s="10" t="n"/>
      <c r="X15" s="10" t="n"/>
      <c r="Y15" s="10" t="n"/>
      <c r="Z15" s="10" t="n"/>
      <c r="AA15" s="10" t="n"/>
      <c r="AB15" s="10" t="n"/>
      <c r="AC15" s="10" t="inlineStr">
        <is>
          <t>●</t>
        </is>
      </c>
      <c r="AD15" s="10" t="n"/>
    </row>
    <row r="16" ht="21.75" customHeight="1">
      <c r="A16" s="8" t="inlineStr">
        <is>
          <t>R1.8</t>
        </is>
      </c>
      <c r="B16" s="10" t="inlineStr">
        <is>
          <t>R1</t>
        </is>
      </c>
      <c r="C16" s="10" t="inlineStr">
        <is>
          <t>D3</t>
        </is>
      </c>
      <c r="D16" s="9" t="inlineStr">
        <is>
          <t>S8 Subsistema de Terminal de Campo</t>
        </is>
      </c>
      <c r="E16" s="12" t="inlineStr">
        <is>
          <t>AplicacionTerminalCampo</t>
        </is>
      </c>
      <c r="F16" s="10" t="n"/>
      <c r="G16" s="10" t="n"/>
      <c r="H16" s="10" t="n"/>
      <c r="I16" s="10" t="n"/>
      <c r="J16" s="10" t="n"/>
      <c r="K16" s="10" t="n"/>
      <c r="L16" s="10" t="n"/>
      <c r="M16" s="10" t="n"/>
      <c r="N16" s="10" t="n"/>
      <c r="O16" s="10" t="n"/>
      <c r="P16" s="10" t="n"/>
      <c r="Q16" s="10" t="n"/>
      <c r="R16" s="10" t="n"/>
      <c r="S16" s="10" t="n"/>
      <c r="T16" s="10" t="n"/>
      <c r="U16" s="10" t="n"/>
      <c r="V16" s="10" t="n"/>
      <c r="W16" s="10" t="n"/>
      <c r="X16" s="10" t="n"/>
      <c r="Y16" s="10" t="n"/>
      <c r="Z16" s="10" t="n"/>
      <c r="AA16" s="10" t="n"/>
      <c r="AB16" s="10" t="n"/>
      <c r="AC16" s="10" t="inlineStr">
        <is>
          <t>●</t>
        </is>
      </c>
      <c r="AD16" s="10" t="n"/>
    </row>
    <row r="17" ht="21.75" customHeight="1">
      <c r="A17" s="8" t="inlineStr">
        <is>
          <t>R3.1</t>
        </is>
      </c>
      <c r="B17" s="10" t="inlineStr">
        <is>
          <t>R3</t>
        </is>
      </c>
      <c r="C17" s="10" t="inlineStr">
        <is>
          <t>D6</t>
        </is>
      </c>
      <c r="D17" s="9" t="inlineStr">
        <is>
          <t>S6 Subsistema de Administración y Seguridad</t>
        </is>
      </c>
      <c r="E17" s="12" t="inlineStr">
        <is>
          <t>GestorUsuariosRoles</t>
        </is>
      </c>
      <c r="F17" s="10" t="n"/>
      <c r="G17" s="10" t="n"/>
      <c r="H17" s="10" t="n"/>
      <c r="I17" s="10" t="n"/>
      <c r="J17" s="10" t="n"/>
      <c r="K17" s="10" t="n"/>
      <c r="L17" s="10" t="n"/>
      <c r="M17" s="10" t="n"/>
      <c r="N17" s="10" t="n"/>
      <c r="O17" s="10" t="n"/>
      <c r="P17" s="10" t="n"/>
      <c r="Q17" s="10" t="n"/>
      <c r="R17" s="10" t="n"/>
      <c r="S17" s="10" t="n"/>
      <c r="T17" s="10" t="n"/>
      <c r="U17" s="10" t="n"/>
      <c r="V17" s="10" t="n"/>
      <c r="W17" s="10" t="inlineStr">
        <is>
          <t>●</t>
        </is>
      </c>
      <c r="X17" s="10" t="n"/>
      <c r="Y17" s="10" t="n"/>
      <c r="Z17" s="10" t="n"/>
      <c r="AA17" s="10" t="n"/>
      <c r="AB17" s="10" t="n"/>
      <c r="AC17" s="10" t="n"/>
      <c r="AD17" s="10" t="n"/>
    </row>
    <row r="18" ht="21.75" customHeight="1">
      <c r="A18" s="8" t="inlineStr">
        <is>
          <t>R3.2</t>
        </is>
      </c>
      <c r="B18" s="10" t="inlineStr">
        <is>
          <t>R3</t>
        </is>
      </c>
      <c r="C18" s="10" t="inlineStr">
        <is>
          <t>D6</t>
        </is>
      </c>
      <c r="D18" s="9" t="inlineStr">
        <is>
          <t>S6 Subsistema de Administración y Seguridad</t>
        </is>
      </c>
      <c r="E18" s="12" t="inlineStr">
        <is>
          <t>GestorUsuariosRoles</t>
        </is>
      </c>
      <c r="F18" s="10" t="n"/>
      <c r="G18" s="10" t="n"/>
      <c r="H18" s="10" t="n"/>
      <c r="I18" s="10" t="n"/>
      <c r="J18" s="10" t="n"/>
      <c r="K18" s="10" t="n"/>
      <c r="L18" s="10" t="n"/>
      <c r="M18" s="10" t="n"/>
      <c r="N18" s="10" t="n"/>
      <c r="O18" s="10" t="n"/>
      <c r="P18" s="10" t="n"/>
      <c r="Q18" s="10" t="n"/>
      <c r="R18" s="10" t="n"/>
      <c r="S18" s="10" t="n"/>
      <c r="T18" s="10" t="n"/>
      <c r="U18" s="10" t="n"/>
      <c r="V18" s="10" t="n"/>
      <c r="W18" s="10" t="inlineStr">
        <is>
          <t>●</t>
        </is>
      </c>
      <c r="X18" s="10" t="n"/>
      <c r="Y18" s="10" t="n"/>
      <c r="Z18" s="10" t="n"/>
      <c r="AA18" s="10" t="n"/>
      <c r="AB18" s="10" t="n"/>
      <c r="AC18" s="10" t="n"/>
      <c r="AD18" s="10" t="n"/>
    </row>
    <row r="19" ht="21.75" customHeight="1">
      <c r="A19" s="8" t="inlineStr">
        <is>
          <t>R3.3</t>
        </is>
      </c>
      <c r="B19" s="10" t="inlineStr">
        <is>
          <t>R3</t>
        </is>
      </c>
      <c r="C19" s="10" t="inlineStr">
        <is>
          <t>D6</t>
        </is>
      </c>
      <c r="D19" s="9" t="inlineStr">
        <is>
          <t>S6 Subsistema de Administración y Seguridad</t>
        </is>
      </c>
      <c r="E19" s="12" t="inlineStr">
        <is>
          <t>GestorUsuariosRoles</t>
        </is>
      </c>
      <c r="F19" s="10" t="n"/>
      <c r="G19" s="10" t="n"/>
      <c r="H19" s="10" t="n"/>
      <c r="I19" s="10" t="n"/>
      <c r="J19" s="10" t="n"/>
      <c r="K19" s="10" t="n"/>
      <c r="L19" s="10" t="n"/>
      <c r="M19" s="10" t="n"/>
      <c r="N19" s="10" t="n"/>
      <c r="O19" s="10" t="n"/>
      <c r="P19" s="10" t="n"/>
      <c r="Q19" s="10" t="n"/>
      <c r="R19" s="10" t="n"/>
      <c r="S19" s="10" t="n"/>
      <c r="T19" s="10" t="n"/>
      <c r="U19" s="10" t="n"/>
      <c r="V19" s="10" t="n"/>
      <c r="W19" s="10" t="inlineStr">
        <is>
          <t>●</t>
        </is>
      </c>
      <c r="X19" s="10" t="n"/>
      <c r="Y19" s="10" t="n"/>
      <c r="Z19" s="10" t="n"/>
      <c r="AA19" s="10" t="n"/>
      <c r="AB19" s="10" t="n"/>
      <c r="AC19" s="10" t="n"/>
      <c r="AD19" s="10" t="n"/>
    </row>
    <row r="20" ht="21.75" customHeight="1">
      <c r="A20" s="8" t="inlineStr">
        <is>
          <t>R10.1</t>
        </is>
      </c>
      <c r="B20" s="10" t="inlineStr">
        <is>
          <t>R10</t>
        </is>
      </c>
      <c r="C20" s="10" t="inlineStr">
        <is>
          <t>D6</t>
        </is>
      </c>
      <c r="D20" s="9" t="inlineStr">
        <is>
          <t>S6 Subsistema de Administración y Seguridad</t>
        </is>
      </c>
      <c r="E20" s="12" t="inlineStr">
        <is>
          <t>AutenticadorSesiones</t>
        </is>
      </c>
      <c r="F20" s="10" t="n"/>
      <c r="G20" s="10" t="n"/>
      <c r="H20" s="10" t="n"/>
      <c r="I20" s="10" t="n"/>
      <c r="J20" s="10" t="n"/>
      <c r="K20" s="10" t="n"/>
      <c r="L20" s="10" t="n"/>
      <c r="M20" s="10" t="n"/>
      <c r="N20" s="10" t="n"/>
      <c r="O20" s="10" t="n"/>
      <c r="P20" s="10" t="n"/>
      <c r="Q20" s="10" t="n"/>
      <c r="R20" s="10" t="n"/>
      <c r="S20" s="10" t="n"/>
      <c r="T20" s="10" t="n"/>
      <c r="U20" s="10" t="n"/>
      <c r="V20" s="10" t="n"/>
      <c r="W20" s="10" t="n"/>
      <c r="X20" s="10" t="inlineStr">
        <is>
          <t>●</t>
        </is>
      </c>
      <c r="Y20" s="10" t="n"/>
      <c r="Z20" s="10" t="n"/>
      <c r="AA20" s="10" t="n"/>
      <c r="AB20" s="10" t="n"/>
      <c r="AC20" s="10" t="n"/>
      <c r="AD20" s="10" t="n"/>
    </row>
    <row r="21" ht="21.75" customHeight="1">
      <c r="A21" s="8" t="inlineStr">
        <is>
          <t>R3.4</t>
        </is>
      </c>
      <c r="B21" s="10" t="inlineStr">
        <is>
          <t>R3</t>
        </is>
      </c>
      <c r="C21" s="10" t="inlineStr">
        <is>
          <t>D6</t>
        </is>
      </c>
      <c r="D21" s="9" t="inlineStr">
        <is>
          <t>S6 Subsistema de Administración y Seguridad</t>
        </is>
      </c>
      <c r="E21" s="12" t="inlineStr">
        <is>
          <t>AutorizadorAcceso</t>
        </is>
      </c>
      <c r="F21" s="10" t="n"/>
      <c r="G21" s="10" t="n"/>
      <c r="H21" s="10" t="n"/>
      <c r="I21" s="10" t="n"/>
      <c r="J21" s="10" t="n"/>
      <c r="K21" s="10" t="n"/>
      <c r="L21" s="10" t="n"/>
      <c r="M21" s="10" t="n"/>
      <c r="N21" s="10" t="n"/>
      <c r="O21" s="10" t="n"/>
      <c r="P21" s="10" t="n"/>
      <c r="Q21" s="10" t="n"/>
      <c r="R21" s="10" t="n"/>
      <c r="S21" s="10" t="n"/>
      <c r="T21" s="10" t="n"/>
      <c r="U21" s="10" t="n"/>
      <c r="V21" s="10" t="n"/>
      <c r="W21" s="10" t="n"/>
      <c r="X21" s="10" t="n"/>
      <c r="Y21" s="10" t="inlineStr">
        <is>
          <t>●</t>
        </is>
      </c>
      <c r="Z21" s="10" t="n"/>
      <c r="AA21" s="10" t="n"/>
      <c r="AB21" s="10" t="n"/>
      <c r="AC21" s="10" t="n"/>
      <c r="AD21" s="10" t="n"/>
    </row>
    <row r="22" ht="21.75" customHeight="1">
      <c r="A22" s="8" t="inlineStr">
        <is>
          <t>R10.3</t>
        </is>
      </c>
      <c r="B22" s="10" t="inlineStr">
        <is>
          <t>R10, R15</t>
        </is>
      </c>
      <c r="C22" s="10" t="inlineStr">
        <is>
          <t>D6</t>
        </is>
      </c>
      <c r="D22" s="9" t="inlineStr">
        <is>
          <t>S6 Subsistema de Administración y Seguridad</t>
        </is>
      </c>
      <c r="E22" s="12" t="inlineStr">
        <is>
          <t>AutenticadorSesiones</t>
        </is>
      </c>
      <c r="F22" s="10" t="n"/>
      <c r="G22" s="10" t="n"/>
      <c r="H22" s="10" t="n"/>
      <c r="I22" s="10" t="n"/>
      <c r="J22" s="10" t="n"/>
      <c r="K22" s="10" t="n"/>
      <c r="L22" s="10" t="n"/>
      <c r="M22" s="10" t="n"/>
      <c r="N22" s="10" t="n"/>
      <c r="O22" s="10" t="n"/>
      <c r="P22" s="10" t="n"/>
      <c r="Q22" s="10" t="n"/>
      <c r="R22" s="10" t="n"/>
      <c r="S22" s="10" t="n"/>
      <c r="T22" s="10" t="n"/>
      <c r="U22" s="10" t="n"/>
      <c r="V22" s="10" t="n"/>
      <c r="W22" s="10" t="n"/>
      <c r="X22" s="10" t="inlineStr">
        <is>
          <t>●</t>
        </is>
      </c>
      <c r="Y22" s="10" t="n"/>
      <c r="Z22" s="10" t="n"/>
      <c r="AA22" s="10" t="n"/>
      <c r="AB22" s="10" t="n"/>
      <c r="AC22" s="10" t="n"/>
      <c r="AD22" s="10" t="n"/>
    </row>
    <row r="23" ht="21.75" customHeight="1">
      <c r="A23" s="8" t="inlineStr">
        <is>
          <t>R10.2</t>
        </is>
      </c>
      <c r="B23" s="10" t="inlineStr">
        <is>
          <t>R10</t>
        </is>
      </c>
      <c r="C23" s="10" t="inlineStr">
        <is>
          <t>D6</t>
        </is>
      </c>
      <c r="D23" s="9" t="inlineStr">
        <is>
          <t>S6 Subsistema de Administración y Seguridad</t>
        </is>
      </c>
      <c r="E23" s="12" t="inlineStr">
        <is>
          <t>AutenticadorSesiones</t>
        </is>
      </c>
      <c r="F23" s="10" t="n"/>
      <c r="G23" s="10" t="n"/>
      <c r="H23" s="10" t="n"/>
      <c r="I23" s="10" t="n"/>
      <c r="J23" s="10" t="n"/>
      <c r="K23" s="10" t="n"/>
      <c r="L23" s="10" t="n"/>
      <c r="M23" s="10" t="n"/>
      <c r="N23" s="10" t="n"/>
      <c r="O23" s="10" t="n"/>
      <c r="P23" s="10" t="n"/>
      <c r="Q23" s="10" t="n"/>
      <c r="R23" s="10" t="n"/>
      <c r="S23" s="10" t="n"/>
      <c r="T23" s="10" t="n"/>
      <c r="U23" s="10" t="n"/>
      <c r="V23" s="10" t="n"/>
      <c r="W23" s="10" t="n"/>
      <c r="X23" s="10" t="inlineStr">
        <is>
          <t>●</t>
        </is>
      </c>
      <c r="Y23" s="10" t="n"/>
      <c r="Z23" s="10" t="n"/>
      <c r="AA23" s="10" t="n"/>
      <c r="AB23" s="10" t="n"/>
      <c r="AC23" s="10" t="n"/>
      <c r="AD23" s="10" t="n"/>
    </row>
    <row r="24" ht="21.75" customHeight="1">
      <c r="A24" s="8" t="inlineStr">
        <is>
          <t>R8.1</t>
        </is>
      </c>
      <c r="B24" s="10" t="inlineStr">
        <is>
          <t>R8</t>
        </is>
      </c>
      <c r="C24" s="10" t="inlineStr">
        <is>
          <t>D6</t>
        </is>
      </c>
      <c r="D24" s="9" t="inlineStr">
        <is>
          <t>S6 Subsistema de Administración y Seguridad</t>
        </is>
      </c>
      <c r="E24" s="12" t="inlineStr">
        <is>
          <t>GestorAsignaciones</t>
        </is>
      </c>
      <c r="F24" s="10" t="n"/>
      <c r="G24" s="10" t="n"/>
      <c r="H24" s="10" t="n"/>
      <c r="I24" s="10" t="n"/>
      <c r="J24" s="10" t="n"/>
      <c r="K24" s="10" t="n"/>
      <c r="L24" s="10" t="n"/>
      <c r="M24" s="10" t="n"/>
      <c r="N24" s="10" t="n"/>
      <c r="O24" s="10" t="n"/>
      <c r="P24" s="10" t="n"/>
      <c r="Q24" s="10" t="n"/>
      <c r="R24" s="10" t="n"/>
      <c r="S24" s="10" t="n"/>
      <c r="T24" s="10" t="n"/>
      <c r="U24" s="10" t="n"/>
      <c r="V24" s="10" t="n"/>
      <c r="W24" s="10" t="n"/>
      <c r="X24" s="10" t="n"/>
      <c r="Y24" s="10" t="n"/>
      <c r="Z24" s="10" t="inlineStr">
        <is>
          <t>●</t>
        </is>
      </c>
      <c r="AA24" s="10" t="n"/>
      <c r="AB24" s="10" t="n"/>
      <c r="AC24" s="10" t="n"/>
      <c r="AD24" s="10" t="n"/>
    </row>
    <row r="25" ht="21.75" customHeight="1">
      <c r="A25" s="8" t="inlineStr">
        <is>
          <t>R4.1</t>
        </is>
      </c>
      <c r="B25" s="10" t="inlineStr">
        <is>
          <t>R4</t>
        </is>
      </c>
      <c r="C25" s="10" t="inlineStr">
        <is>
          <t>D4</t>
        </is>
      </c>
      <c r="D25" s="9" t="inlineStr">
        <is>
          <t>S4 Subsistema de Monitoreo Georreferenciado</t>
        </is>
      </c>
      <c r="E25" s="12" t="inlineStr">
        <is>
          <t>ServicioMapaRed</t>
        </is>
      </c>
      <c r="F25" s="10" t="n"/>
      <c r="G25" s="10" t="n"/>
      <c r="H25" s="10" t="n"/>
      <c r="I25" s="10" t="n"/>
      <c r="J25" s="10" t="n"/>
      <c r="K25" s="10" t="n"/>
      <c r="L25" s="10" t="n"/>
      <c r="M25" s="10" t="n"/>
      <c r="N25" s="10" t="n"/>
      <c r="O25" s="10" t="inlineStr">
        <is>
          <t>●</t>
        </is>
      </c>
      <c r="P25" s="10" t="n"/>
      <c r="Q25" s="10" t="n"/>
      <c r="R25" s="10" t="n"/>
      <c r="S25" s="10" t="n"/>
      <c r="T25" s="10" t="n"/>
      <c r="U25" s="10" t="n"/>
      <c r="V25" s="10" t="n"/>
      <c r="W25" s="10" t="n"/>
      <c r="X25" s="10" t="n"/>
      <c r="Y25" s="10" t="n"/>
      <c r="Z25" s="10" t="n"/>
      <c r="AA25" s="10" t="n"/>
      <c r="AB25" s="10" t="n"/>
      <c r="AC25" s="10" t="n"/>
      <c r="AD25" s="10" t="n"/>
    </row>
    <row r="26" ht="21.75" customHeight="1">
      <c r="A26" s="8" t="inlineStr">
        <is>
          <t>R4.2</t>
        </is>
      </c>
      <c r="B26" s="10" t="inlineStr">
        <is>
          <t>R4</t>
        </is>
      </c>
      <c r="C26" s="10" t="inlineStr">
        <is>
          <t>D4</t>
        </is>
      </c>
      <c r="D26" s="9" t="inlineStr">
        <is>
          <t>S4 Subsistema de Monitoreo Georreferenciado</t>
        </is>
      </c>
      <c r="E26" s="12" t="inlineStr">
        <is>
          <t>ServicioMapaRed</t>
        </is>
      </c>
      <c r="F26" s="10" t="n"/>
      <c r="G26" s="10" t="n"/>
      <c r="H26" s="10" t="n"/>
      <c r="I26" s="10" t="n"/>
      <c r="J26" s="10" t="n"/>
      <c r="K26" s="10" t="n"/>
      <c r="L26" s="10" t="n"/>
      <c r="M26" s="10" t="n"/>
      <c r="N26" s="10" t="n"/>
      <c r="O26" s="10" t="inlineStr">
        <is>
          <t>●</t>
        </is>
      </c>
      <c r="P26" s="10" t="n"/>
      <c r="Q26" s="10" t="n"/>
      <c r="R26" s="10" t="n"/>
      <c r="S26" s="10" t="n"/>
      <c r="T26" s="10" t="n"/>
      <c r="U26" s="10" t="n"/>
      <c r="V26" s="10" t="n"/>
      <c r="W26" s="10" t="n"/>
      <c r="X26" s="10" t="n"/>
      <c r="Y26" s="10" t="n"/>
      <c r="Z26" s="10" t="n"/>
      <c r="AA26" s="10" t="n"/>
      <c r="AB26" s="10" t="n"/>
      <c r="AC26" s="10" t="n"/>
      <c r="AD26" s="10" t="n"/>
    </row>
    <row r="27" ht="21.75" customHeight="1">
      <c r="A27" s="8" t="inlineStr">
        <is>
          <t>R4.3</t>
        </is>
      </c>
      <c r="B27" s="10" t="inlineStr">
        <is>
          <t>R4</t>
        </is>
      </c>
      <c r="C27" s="10" t="inlineStr">
        <is>
          <t>D4</t>
        </is>
      </c>
      <c r="D27" s="9" t="inlineStr">
        <is>
          <t>S4 Subsistema de Monitoreo Georreferenciado</t>
        </is>
      </c>
      <c r="E27" s="12" t="inlineStr">
        <is>
          <t>ActualizadorTiempoReal</t>
        </is>
      </c>
      <c r="F27" s="10" t="n"/>
      <c r="G27" s="10" t="n"/>
      <c r="H27" s="10" t="n"/>
      <c r="I27" s="10" t="n"/>
      <c r="J27" s="10" t="n"/>
      <c r="K27" s="10" t="n"/>
      <c r="L27" s="10" t="n"/>
      <c r="M27" s="10" t="n"/>
      <c r="N27" s="10" t="n"/>
      <c r="O27" s="10" t="n"/>
      <c r="P27" s="10" t="inlineStr">
        <is>
          <t>●</t>
        </is>
      </c>
      <c r="Q27" s="10" t="n"/>
      <c r="R27" s="10" t="n"/>
      <c r="S27" s="10" t="n"/>
      <c r="T27" s="10" t="n"/>
      <c r="U27" s="10" t="n"/>
      <c r="V27" s="10" t="n"/>
      <c r="W27" s="10" t="n"/>
      <c r="X27" s="10" t="n"/>
      <c r="Y27" s="10" t="n"/>
      <c r="Z27" s="10" t="n"/>
      <c r="AA27" s="10" t="n"/>
      <c r="AB27" s="10" t="n"/>
      <c r="AC27" s="10" t="n"/>
      <c r="AD27" s="10" t="n"/>
    </row>
    <row r="28" ht="21.75" customHeight="1">
      <c r="A28" s="8" t="inlineStr">
        <is>
          <t>R9.1</t>
        </is>
      </c>
      <c r="B28" s="10" t="inlineStr">
        <is>
          <t>R9</t>
        </is>
      </c>
      <c r="C28" s="10" t="inlineStr">
        <is>
          <t>D4</t>
        </is>
      </c>
      <c r="D28" s="9" t="inlineStr">
        <is>
          <t>S4 Subsistema de Monitoreo Georreferenciado</t>
        </is>
      </c>
      <c r="E28" s="12" t="inlineStr">
        <is>
          <t>GestorVistaOperador</t>
        </is>
      </c>
      <c r="F28" s="10" t="n"/>
      <c r="G28" s="10" t="n"/>
      <c r="H28" s="10" t="n"/>
      <c r="I28" s="10" t="n"/>
      <c r="J28" s="10" t="n"/>
      <c r="K28" s="10" t="n"/>
      <c r="L28" s="10" t="n"/>
      <c r="M28" s="10" t="n"/>
      <c r="N28" s="10" t="n"/>
      <c r="O28" s="10" t="n"/>
      <c r="P28" s="10" t="n"/>
      <c r="Q28" s="10" t="inlineStr">
        <is>
          <t>●</t>
        </is>
      </c>
      <c r="R28" s="10" t="n"/>
      <c r="S28" s="10" t="n"/>
      <c r="T28" s="10" t="n"/>
      <c r="U28" s="10" t="n"/>
      <c r="V28" s="10" t="n"/>
      <c r="W28" s="10" t="n"/>
      <c r="X28" s="10" t="n"/>
      <c r="Y28" s="10" t="n"/>
      <c r="Z28" s="10" t="n"/>
      <c r="AA28" s="10" t="n"/>
      <c r="AB28" s="10" t="n"/>
      <c r="AC28" s="10" t="n"/>
      <c r="AD28" s="10" t="n"/>
    </row>
    <row r="29" ht="21.75" customHeight="1">
      <c r="A29" s="8" t="inlineStr">
        <is>
          <t>R9.2</t>
        </is>
      </c>
      <c r="B29" s="10" t="inlineStr">
        <is>
          <t>R9</t>
        </is>
      </c>
      <c r="C29" s="10" t="inlineStr">
        <is>
          <t>D4</t>
        </is>
      </c>
      <c r="D29" s="9" t="inlineStr">
        <is>
          <t>S4 Subsistema de Monitoreo Georreferenciado</t>
        </is>
      </c>
      <c r="E29" s="12" t="inlineStr">
        <is>
          <t>GestorVistaOperador</t>
        </is>
      </c>
      <c r="F29" s="10" t="n"/>
      <c r="G29" s="10" t="n"/>
      <c r="H29" s="10" t="n"/>
      <c r="I29" s="10" t="n"/>
      <c r="J29" s="10" t="n"/>
      <c r="K29" s="10" t="n"/>
      <c r="L29" s="10" t="n"/>
      <c r="M29" s="10" t="n"/>
      <c r="N29" s="10" t="n"/>
      <c r="O29" s="10" t="n"/>
      <c r="P29" s="10" t="n"/>
      <c r="Q29" s="10" t="inlineStr">
        <is>
          <t>●</t>
        </is>
      </c>
      <c r="R29" s="10" t="n"/>
      <c r="S29" s="10" t="n"/>
      <c r="T29" s="10" t="n"/>
      <c r="U29" s="10" t="n"/>
      <c r="V29" s="10" t="n"/>
      <c r="W29" s="10" t="n"/>
      <c r="X29" s="10" t="n"/>
      <c r="Y29" s="10" t="n"/>
      <c r="Z29" s="10" t="n"/>
      <c r="AA29" s="10" t="n"/>
      <c r="AB29" s="10" t="n"/>
      <c r="AC29" s="10" t="n"/>
      <c r="AD29" s="10" t="n"/>
    </row>
    <row r="30" ht="21.75" customHeight="1">
      <c r="A30" s="8" t="inlineStr">
        <is>
          <t>R7.6</t>
        </is>
      </c>
      <c r="B30" s="10" t="inlineStr">
        <is>
          <t>R7</t>
        </is>
      </c>
      <c r="C30" s="10" t="inlineStr">
        <is>
          <t>D5</t>
        </is>
      </c>
      <c r="D30" s="9" t="inlineStr">
        <is>
          <t>S5 Subsistema de Analítica de Balance y Pérdidas</t>
        </is>
      </c>
      <c r="E30" s="12" t="inlineStr">
        <is>
          <t>OrquestadorAnaliticaPerdidas</t>
        </is>
      </c>
      <c r="F30" s="10" t="n"/>
      <c r="G30" s="10" t="n"/>
      <c r="H30" s="10" t="n"/>
      <c r="I30" s="10" t="n"/>
      <c r="J30" s="10" t="n"/>
      <c r="K30" s="10" t="n"/>
      <c r="L30" s="10" t="n"/>
      <c r="M30" s="10" t="n"/>
      <c r="N30" s="10" t="n"/>
      <c r="O30" s="10" t="n"/>
      <c r="P30" s="10" t="n"/>
      <c r="Q30" s="10" t="n"/>
      <c r="R30" s="10" t="n"/>
      <c r="S30" s="10" t="n"/>
      <c r="T30" s="10" t="inlineStr">
        <is>
          <t>●</t>
        </is>
      </c>
      <c r="U30" s="10" t="n"/>
      <c r="V30" s="10" t="n"/>
      <c r="W30" s="10" t="n"/>
      <c r="X30" s="10" t="n"/>
      <c r="Y30" s="10" t="n"/>
      <c r="Z30" s="10" t="n"/>
      <c r="AA30" s="10" t="n"/>
      <c r="AB30" s="10" t="n"/>
      <c r="AC30" s="10" t="n"/>
      <c r="AD30" s="10" t="n"/>
    </row>
    <row r="31" ht="21.75" customHeight="1">
      <c r="A31" s="8" t="inlineStr">
        <is>
          <t>R7.1</t>
        </is>
      </c>
      <c r="B31" s="10" t="inlineStr">
        <is>
          <t>R7</t>
        </is>
      </c>
      <c r="C31" s="10" t="inlineStr">
        <is>
          <t>D5</t>
        </is>
      </c>
      <c r="D31" s="9" t="inlineStr">
        <is>
          <t>S5 Subsistema de Analítica de Balance y Pérdidas</t>
        </is>
      </c>
      <c r="E31" s="12" t="inlineStr">
        <is>
          <t>OrquestadorAnaliticaPerdidas</t>
        </is>
      </c>
      <c r="F31" s="10" t="n"/>
      <c r="G31" s="10" t="n"/>
      <c r="H31" s="10" t="n"/>
      <c r="I31" s="10" t="n"/>
      <c r="J31" s="10" t="n"/>
      <c r="K31" s="10" t="n"/>
      <c r="L31" s="10" t="n"/>
      <c r="M31" s="10" t="n"/>
      <c r="N31" s="10" t="n"/>
      <c r="O31" s="10" t="n"/>
      <c r="P31" s="10" t="n"/>
      <c r="Q31" s="10" t="n"/>
      <c r="R31" s="10" t="n"/>
      <c r="S31" s="10" t="n"/>
      <c r="T31" s="10" t="inlineStr">
        <is>
          <t>●</t>
        </is>
      </c>
      <c r="U31" s="10" t="n"/>
      <c r="V31" s="10" t="n"/>
      <c r="W31" s="10" t="n"/>
      <c r="X31" s="10" t="n"/>
      <c r="Y31" s="10" t="n"/>
      <c r="Z31" s="10" t="n"/>
      <c r="AA31" s="10" t="n"/>
      <c r="AB31" s="10" t="n"/>
      <c r="AC31" s="10" t="n"/>
      <c r="AD31" s="10" t="n"/>
    </row>
    <row r="32" ht="21.75" customHeight="1">
      <c r="A32" s="8" t="inlineStr">
        <is>
          <t>R7.2</t>
        </is>
      </c>
      <c r="B32" s="10" t="inlineStr">
        <is>
          <t>R7</t>
        </is>
      </c>
      <c r="C32" s="10" t="inlineStr">
        <is>
          <t>D5</t>
        </is>
      </c>
      <c r="D32" s="9" t="inlineStr">
        <is>
          <t>S5 Subsistema de Analítica de Balance y Pérdidas</t>
        </is>
      </c>
      <c r="E32" s="12" t="inlineStr">
        <is>
          <t>CalculadorBalanceTransformador</t>
        </is>
      </c>
      <c r="F32" s="10" t="n"/>
      <c r="G32" s="10" t="n"/>
      <c r="H32" s="10" t="n"/>
      <c r="I32" s="10" t="n"/>
      <c r="J32" s="10" t="n"/>
      <c r="K32" s="10" t="n"/>
      <c r="L32" s="10" t="n"/>
      <c r="M32" s="10" t="n"/>
      <c r="N32" s="10" t="n"/>
      <c r="O32" s="10" t="n"/>
      <c r="P32" s="10" t="n"/>
      <c r="Q32" s="10" t="n"/>
      <c r="R32" s="10" t="n"/>
      <c r="S32" s="10" t="n"/>
      <c r="T32" s="10" t="n"/>
      <c r="U32" s="10" t="inlineStr">
        <is>
          <t>●</t>
        </is>
      </c>
      <c r="V32" s="10" t="n"/>
      <c r="W32" s="10" t="n"/>
      <c r="X32" s="10" t="n"/>
      <c r="Y32" s="10" t="n"/>
      <c r="Z32" s="10" t="n"/>
      <c r="AA32" s="10" t="n"/>
      <c r="AB32" s="10" t="n"/>
      <c r="AC32" s="10" t="n"/>
      <c r="AD32" s="10" t="n"/>
    </row>
    <row r="33" ht="21.75" customHeight="1">
      <c r="A33" s="8" t="inlineStr">
        <is>
          <t>R7.3</t>
        </is>
      </c>
      <c r="B33" s="10" t="inlineStr">
        <is>
          <t>R7</t>
        </is>
      </c>
      <c r="C33" s="10" t="inlineStr">
        <is>
          <t>D5</t>
        </is>
      </c>
      <c r="D33" s="9" t="inlineStr">
        <is>
          <t>S5 Subsistema de Analítica de Balance y Pérdidas</t>
        </is>
      </c>
      <c r="E33" s="12" t="inlineStr">
        <is>
          <t>CalculadorBalanceTransformador</t>
        </is>
      </c>
      <c r="F33" s="10" t="n"/>
      <c r="G33" s="10" t="n"/>
      <c r="H33" s="10" t="n"/>
      <c r="I33" s="10" t="n"/>
      <c r="J33" s="10" t="n"/>
      <c r="K33" s="10" t="n"/>
      <c r="L33" s="10" t="n"/>
      <c r="M33" s="10" t="n"/>
      <c r="N33" s="10" t="n"/>
      <c r="O33" s="10" t="n"/>
      <c r="P33" s="10" t="n"/>
      <c r="Q33" s="10" t="n"/>
      <c r="R33" s="10" t="n"/>
      <c r="S33" s="10" t="n"/>
      <c r="T33" s="10" t="n"/>
      <c r="U33" s="10" t="inlineStr">
        <is>
          <t>●</t>
        </is>
      </c>
      <c r="V33" s="10" t="n"/>
      <c r="W33" s="10" t="n"/>
      <c r="X33" s="10" t="n"/>
      <c r="Y33" s="10" t="n"/>
      <c r="Z33" s="10" t="n"/>
      <c r="AA33" s="10" t="n"/>
      <c r="AB33" s="10" t="n"/>
      <c r="AC33" s="10" t="n"/>
      <c r="AD33" s="10" t="n"/>
    </row>
    <row r="34" ht="21.75" customHeight="1">
      <c r="A34" s="8" t="inlineStr">
        <is>
          <t>R7.4</t>
        </is>
      </c>
      <c r="B34" s="10" t="inlineStr">
        <is>
          <t>R7</t>
        </is>
      </c>
      <c r="C34" s="10" t="inlineStr">
        <is>
          <t>D5</t>
        </is>
      </c>
      <c r="D34" s="9" t="inlineStr">
        <is>
          <t>S5 Subsistema de Analítica de Balance y Pérdidas</t>
        </is>
      </c>
      <c r="E34" s="12" t="inlineStr">
        <is>
          <t>CalculadorBalanceTransformador</t>
        </is>
      </c>
      <c r="F34" s="10" t="n"/>
      <c r="G34" s="10" t="n"/>
      <c r="H34" s="10" t="n"/>
      <c r="I34" s="10" t="n"/>
      <c r="J34" s="10" t="n"/>
      <c r="K34" s="10" t="n"/>
      <c r="L34" s="10" t="n"/>
      <c r="M34" s="10" t="n"/>
      <c r="N34" s="10" t="n"/>
      <c r="O34" s="10" t="n"/>
      <c r="P34" s="10" t="n"/>
      <c r="Q34" s="10" t="n"/>
      <c r="R34" s="10" t="n"/>
      <c r="S34" s="10" t="n"/>
      <c r="T34" s="10" t="n"/>
      <c r="U34" s="10" t="inlineStr">
        <is>
          <t>●</t>
        </is>
      </c>
      <c r="V34" s="10" t="n"/>
      <c r="W34" s="10" t="n"/>
      <c r="X34" s="10" t="n"/>
      <c r="Y34" s="10" t="n"/>
      <c r="Z34" s="10" t="n"/>
      <c r="AA34" s="10" t="n"/>
      <c r="AB34" s="10" t="n"/>
      <c r="AC34" s="10" t="n"/>
      <c r="AD34" s="10" t="n"/>
    </row>
    <row r="35" ht="21.75" customHeight="1">
      <c r="A35" s="8" t="inlineStr">
        <is>
          <t>R7.5</t>
        </is>
      </c>
      <c r="B35" s="10" t="inlineStr">
        <is>
          <t>R7</t>
        </is>
      </c>
      <c r="C35" s="10" t="inlineStr">
        <is>
          <t>D5</t>
        </is>
      </c>
      <c r="D35" s="9" t="inlineStr">
        <is>
          <t>S5 Subsistema de Analítica de Balance y Pérdidas</t>
        </is>
      </c>
      <c r="E35" s="12" t="inlineStr">
        <is>
          <t>AgregadorBalanceCircuito</t>
        </is>
      </c>
      <c r="F35" s="10" t="n"/>
      <c r="G35" s="10" t="n"/>
      <c r="H35" s="10" t="n"/>
      <c r="I35" s="10" t="n"/>
      <c r="J35" s="10" t="n"/>
      <c r="K35" s="10" t="n"/>
      <c r="L35" s="10" t="n"/>
      <c r="M35" s="10" t="n"/>
      <c r="N35" s="10" t="n"/>
      <c r="O35" s="10" t="n"/>
      <c r="P35" s="10" t="n"/>
      <c r="Q35" s="10" t="n"/>
      <c r="R35" s="10" t="n"/>
      <c r="S35" s="10" t="n"/>
      <c r="T35" s="10" t="n"/>
      <c r="U35" s="10" t="n"/>
      <c r="V35" s="10" t="inlineStr">
        <is>
          <t>●</t>
        </is>
      </c>
      <c r="W35" s="10" t="n"/>
      <c r="X35" s="10" t="n"/>
      <c r="Y35" s="10" t="n"/>
      <c r="Z35" s="10" t="n"/>
      <c r="AA35" s="10" t="n"/>
      <c r="AB35" s="10" t="n"/>
      <c r="AC35" s="10" t="n"/>
      <c r="AD35" s="10" t="n"/>
    </row>
    <row r="36" ht="21.75" customHeight="1">
      <c r="A36" s="8" t="inlineStr">
        <is>
          <t>R14.3</t>
        </is>
      </c>
      <c r="B36" s="10" t="inlineStr">
        <is>
          <t>R14</t>
        </is>
      </c>
      <c r="C36" s="10" t="inlineStr">
        <is>
          <t>D7</t>
        </is>
      </c>
      <c r="D36" s="9" t="inlineStr">
        <is>
          <t>S7 Subsistema de Servicios Abiertos (APIs)</t>
        </is>
      </c>
      <c r="E36" s="12" t="inlineStr">
        <is>
          <t>GatewayAPIServicios</t>
        </is>
      </c>
      <c r="F36" s="10" t="n"/>
      <c r="G36" s="10" t="n"/>
      <c r="H36" s="10" t="n"/>
      <c r="I36" s="10" t="n"/>
      <c r="J36" s="10" t="n"/>
      <c r="K36" s="10" t="n"/>
      <c r="L36" s="10" t="n"/>
      <c r="M36" s="10" t="n"/>
      <c r="N36" s="10" t="n"/>
      <c r="O36" s="10" t="n"/>
      <c r="P36" s="10" t="n"/>
      <c r="Q36" s="10" t="n"/>
      <c r="R36" s="10" t="n"/>
      <c r="S36" s="10" t="n"/>
      <c r="T36" s="10" t="n"/>
      <c r="U36" s="10" t="n"/>
      <c r="V36" s="10" t="n"/>
      <c r="W36" s="10" t="n"/>
      <c r="X36" s="10" t="n"/>
      <c r="Y36" s="10" t="n"/>
      <c r="Z36" s="10" t="n"/>
      <c r="AA36" s="10" t="inlineStr">
        <is>
          <t>●</t>
        </is>
      </c>
      <c r="AB36" s="10" t="n"/>
      <c r="AC36" s="10" t="n"/>
      <c r="AD36" s="10" t="n"/>
    </row>
    <row r="37" ht="21.75" customHeight="1">
      <c r="A37" s="8" t="inlineStr">
        <is>
          <t>R14.4</t>
        </is>
      </c>
      <c r="B37" s="10" t="inlineStr">
        <is>
          <t>R14</t>
        </is>
      </c>
      <c r="C37" s="10" t="inlineStr">
        <is>
          <t>D7</t>
        </is>
      </c>
      <c r="D37" s="9" t="inlineStr">
        <is>
          <t>S7 Subsistema de Servicios Abiertos (APIs)</t>
        </is>
      </c>
      <c r="E37" s="12" t="inlineStr">
        <is>
          <t>CalculadorIndicesCalidad</t>
        </is>
      </c>
      <c r="F37" s="10" t="n"/>
      <c r="G37" s="10" t="n"/>
      <c r="H37" s="10" t="n"/>
      <c r="I37" s="10" t="n"/>
      <c r="J37" s="10" t="n"/>
      <c r="K37" s="10" t="n"/>
      <c r="L37" s="10" t="n"/>
      <c r="M37" s="10" t="n"/>
      <c r="N37" s="10" t="n"/>
      <c r="O37" s="10" t="n"/>
      <c r="P37" s="10" t="n"/>
      <c r="Q37" s="10" t="n"/>
      <c r="R37" s="10" t="n"/>
      <c r="S37" s="10" t="n"/>
      <c r="T37" s="10" t="n"/>
      <c r="U37" s="10" t="n"/>
      <c r="V37" s="10" t="n"/>
      <c r="W37" s="10" t="n"/>
      <c r="X37" s="10" t="n"/>
      <c r="Y37" s="10" t="n"/>
      <c r="Z37" s="10" t="n"/>
      <c r="AA37" s="10" t="n"/>
      <c r="AB37" s="10" t="inlineStr">
        <is>
          <t>●</t>
        </is>
      </c>
      <c r="AC37" s="10" t="n"/>
      <c r="AD37" s="10" t="n"/>
    </row>
    <row r="38" ht="21.75" customHeight="1">
      <c r="A38" s="8" t="inlineStr">
        <is>
          <t>R14.1</t>
        </is>
      </c>
      <c r="B38" s="10" t="inlineStr">
        <is>
          <t>R14</t>
        </is>
      </c>
      <c r="C38" s="10" t="inlineStr">
        <is>
          <t>D7</t>
        </is>
      </c>
      <c r="D38" s="9" t="inlineStr">
        <is>
          <t>S7 Subsistema de Servicios Abiertos (APIs)</t>
        </is>
      </c>
      <c r="E38" s="12" t="inlineStr">
        <is>
          <t>GatewayAPIServicios</t>
        </is>
      </c>
      <c r="F38" s="10" t="n"/>
      <c r="G38" s="10" t="n"/>
      <c r="H38" s="10" t="n"/>
      <c r="I38" s="10" t="n"/>
      <c r="J38" s="10" t="n"/>
      <c r="K38" s="10" t="n"/>
      <c r="L38" s="10" t="n"/>
      <c r="M38" s="10" t="n"/>
      <c r="N38" s="10" t="n"/>
      <c r="O38" s="10" t="n"/>
      <c r="P38" s="10" t="n"/>
      <c r="Q38" s="10" t="n"/>
      <c r="R38" s="10" t="n"/>
      <c r="S38" s="10" t="n"/>
      <c r="T38" s="10" t="n"/>
      <c r="U38" s="10" t="n"/>
      <c r="V38" s="10" t="n"/>
      <c r="W38" s="10" t="n"/>
      <c r="X38" s="10" t="n"/>
      <c r="Y38" s="10" t="n"/>
      <c r="Z38" s="10" t="n"/>
      <c r="AA38" s="10" t="inlineStr">
        <is>
          <t>●</t>
        </is>
      </c>
      <c r="AB38" s="10" t="n"/>
      <c r="AC38" s="10" t="n"/>
      <c r="AD38" s="10" t="n"/>
    </row>
    <row r="39" ht="21.75" customHeight="1">
      <c r="A39" s="8" t="inlineStr">
        <is>
          <t>R14.2</t>
        </is>
      </c>
      <c r="B39" s="10" t="inlineStr">
        <is>
          <t>R14</t>
        </is>
      </c>
      <c r="C39" s="10" t="inlineStr">
        <is>
          <t>D7</t>
        </is>
      </c>
      <c r="D39" s="9" t="inlineStr">
        <is>
          <t>S7 Subsistema de Servicios Abiertos (APIs)</t>
        </is>
      </c>
      <c r="E39" s="12" t="inlineStr">
        <is>
          <t>GatewayAPIServicios</t>
        </is>
      </c>
      <c r="F39" s="10" t="n"/>
      <c r="G39" s="10" t="n"/>
      <c r="H39" s="10" t="n"/>
      <c r="I39" s="10" t="n"/>
      <c r="J39" s="10" t="n"/>
      <c r="K39" s="10" t="n"/>
      <c r="L39" s="10" t="n"/>
      <c r="M39" s="10" t="n"/>
      <c r="N39" s="10" t="n"/>
      <c r="O39" s="10" t="n"/>
      <c r="P39" s="10" t="n"/>
      <c r="Q39" s="10" t="n"/>
      <c r="R39" s="10" t="n"/>
      <c r="S39" s="10" t="n"/>
      <c r="T39" s="10" t="n"/>
      <c r="U39" s="10" t="n"/>
      <c r="V39" s="10" t="n"/>
      <c r="W39" s="10" t="n"/>
      <c r="X39" s="10" t="n"/>
      <c r="Y39" s="10" t="n"/>
      <c r="Z39" s="10" t="n"/>
      <c r="AA39" s="10" t="inlineStr">
        <is>
          <t>●</t>
        </is>
      </c>
      <c r="AB39" s="10" t="n"/>
      <c r="AC39" s="10" t="n"/>
      <c r="AD39" s="10" t="n"/>
    </row>
    <row r="40" ht="15" customHeight="1">
      <c r="A40" s="8" t="inlineStr">
        <is>
          <t>Total RF</t>
        </is>
      </c>
      <c r="B40" s="40" t="n"/>
      <c r="C40" s="40" t="n"/>
      <c r="D40" s="37" t="n"/>
      <c r="E40" s="12">
        <f>COUNTA(A5:A39)&amp;" RF asignados"</f>
        <v/>
      </c>
      <c r="F40" s="8">
        <f>COUNTIF(F5:F39,"●")</f>
        <v/>
      </c>
      <c r="G40" s="8">
        <f>COUNTIF(G5:G39,"●")</f>
        <v/>
      </c>
      <c r="H40" s="8">
        <f>COUNTIF(H5:H39,"●")</f>
        <v/>
      </c>
      <c r="I40" s="8">
        <f>COUNTIF(I5:I39,"●")</f>
        <v/>
      </c>
      <c r="J40" s="8">
        <f>COUNTIF(J5:J39,"●")</f>
        <v/>
      </c>
      <c r="K40" s="8">
        <f>COUNTIF(K5:K39,"●")</f>
        <v/>
      </c>
      <c r="L40" s="8">
        <f>COUNTIF(L5:L39,"●")</f>
        <v/>
      </c>
      <c r="M40" s="8">
        <f>COUNTIF(M5:M39,"●")</f>
        <v/>
      </c>
      <c r="N40" s="8">
        <f>COUNTIF(N5:N39,"●")</f>
        <v/>
      </c>
      <c r="O40" s="8">
        <f>COUNTIF(O5:O39,"●")</f>
        <v/>
      </c>
      <c r="P40" s="8">
        <f>COUNTIF(P5:P39,"●")</f>
        <v/>
      </c>
      <c r="Q40" s="8">
        <f>COUNTIF(Q5:Q39,"●")</f>
        <v/>
      </c>
      <c r="R40" s="8">
        <f>COUNTIF(R5:R39,"●")</f>
        <v/>
      </c>
      <c r="S40" s="8">
        <f>COUNTIF(S5:S39,"●")</f>
        <v/>
      </c>
      <c r="T40" s="8">
        <f>COUNTIF(T5:T39,"●")</f>
        <v/>
      </c>
      <c r="U40" s="8">
        <f>COUNTIF(U5:U39,"●")</f>
        <v/>
      </c>
      <c r="V40" s="8">
        <f>COUNTIF(V5:V39,"●")</f>
        <v/>
      </c>
      <c r="W40" s="8">
        <f>COUNTIF(W5:W39,"●")</f>
        <v/>
      </c>
      <c r="X40" s="8">
        <f>COUNTIF(X5:X39,"●")</f>
        <v/>
      </c>
      <c r="Y40" s="8">
        <f>COUNTIF(Y5:Y39,"●")</f>
        <v/>
      </c>
      <c r="Z40" s="8">
        <f>COUNTIF(Z5:Z39,"●")</f>
        <v/>
      </c>
      <c r="AA40" s="8">
        <f>COUNTIF(AA5:AA39,"●")</f>
        <v/>
      </c>
      <c r="AB40" s="8">
        <f>COUNTIF(AB5:AB39,"●")</f>
        <v/>
      </c>
      <c r="AC40" s="8">
        <f>COUNTIF(AC5:AC39,"●")</f>
        <v/>
      </c>
      <c r="AD40" s="8">
        <f>COUNTIF(AD5:AD39,"●")</f>
        <v/>
      </c>
    </row>
    <row r="41">
      <c r="E41" s="12" t="inlineStr">
        <is>
          <t>Suma de la fila de totales</t>
        </is>
      </c>
      <c r="F41" s="8">
        <f>SUM(F40:AD40)</f>
        <v/>
      </c>
    </row>
  </sheetData>
  <mergeCells count="3">
    <mergeCell ref="A40:D40"/>
    <mergeCell ref="A2:AD2"/>
    <mergeCell ref="A1:AD1"/>
  </mergeCells>
  <pageMargins left="0.75" right="0.75" top="1" bottom="1" header="0.511811023622047" footer="0.511811023622047"/>
  <pageSetup orientation="landscape" paperSize="9" fitToHeight="0" fitToWidth="1" horizontalDpi="300" verticalDpi="300"/>
</worksheet>
</file>

<file path=xl/worksheets/sheet5.xml><?xml version="1.0" encoding="utf-8"?>
<worksheet xmlns="http://schemas.openxmlformats.org/spreadsheetml/2006/main">
  <sheetPr>
    <outlinePr summaryBelow="1" summaryRight="1"/>
    <pageSetUpPr fitToPage="1"/>
  </sheetPr>
  <dimension ref="A1:I19"/>
  <sheetViews>
    <sheetView zoomScaleNormal="100" workbookViewId="0">
      <pane xSplit="1" ySplit="4" topLeftCell="D5" activePane="bottomRight" state="frozen"/>
      <selection pane="topRight" activeCell="B1" sqref="B1"/>
      <selection pane="bottomLeft" activeCell="A5" sqref="A5"/>
      <selection pane="bottomRight" activeCell="A4" sqref="A4:XFD4"/>
    </sheetView>
  </sheetViews>
  <sheetFormatPr baseColWidth="10" defaultColWidth="8.6640625" defaultRowHeight="14.4"/>
  <cols>
    <col width="7" customWidth="1" min="1" max="1"/>
    <col width="9" customWidth="1" min="2" max="2"/>
    <col width="34" customWidth="1" min="3" max="3"/>
    <col width="40" customWidth="1" min="4" max="4"/>
    <col width="42" customWidth="1" min="5" max="6"/>
    <col width="36" customWidth="1" min="7" max="7"/>
    <col width="44" customWidth="1" min="8" max="8"/>
    <col width="46" customWidth="1" min="9" max="9"/>
  </cols>
  <sheetData>
    <row r="1" ht="21.75" customHeight="1">
      <c r="A1" s="7" t="n"/>
    </row>
    <row r="2">
      <c r="A2" s="6" t="n"/>
    </row>
    <row r="4" ht="36" customFormat="1" customHeight="1" s="16">
      <c r="A4" s="33" t="inlineStr">
        <is>
          <t>Req.</t>
        </is>
      </c>
      <c r="B4" s="33" t="inlineStr">
        <is>
          <t>Tipo</t>
        </is>
      </c>
      <c r="C4" s="33" t="inlineStr">
        <is>
          <t>RF atómicos (Fase 1)</t>
        </is>
      </c>
      <c r="D4" s="33" t="inlineStr">
        <is>
          <t>Subsistema(s) (bloque)</t>
        </is>
      </c>
      <c r="E4" s="33" t="inlineStr">
        <is>
          <t>Componentes responsables (RF)</t>
        </is>
      </c>
      <c r="F4" s="33" t="inlineStr">
        <is>
          <t>Componentes que soportan el RNF/RAS</t>
        </is>
      </c>
      <c r="G4" s="33" t="inlineStr">
        <is>
          <t>Cobertura</t>
        </is>
      </c>
      <c r="H4" s="33" t="inlineStr">
        <is>
          <t>Literal A: CUC y estados (R15)</t>
        </is>
      </c>
      <c r="I4" s="33" t="inlineStr">
        <is>
          <t>Literal C/D: nodo del deployment · escenario QAW</t>
        </is>
      </c>
    </row>
    <row r="5" ht="57.75" customHeight="1">
      <c r="A5" s="8" t="inlineStr">
        <is>
          <t>R1</t>
        </is>
      </c>
      <c r="B5" s="10" t="inlineStr">
        <is>
          <t>RF</t>
        </is>
      </c>
      <c r="C5" s="9" t="inlineStr">
        <is>
          <t>R1.1, R1.2, R1.3, R1.4, R1.5, R1.6, R1.7, R1.8</t>
        </is>
      </c>
      <c r="D5" s="9" t="inlineStr">
        <is>
          <t>S2 Subsistema de Procesamiento de Eventos y Alarmas
S8 Subsistema de Terminal de Campo</t>
        </is>
      </c>
      <c r="E5" s="9" t="inlineStr">
        <is>
          <t>C04 ClasificadorEventosRed, C05 GestorCicloVidaEventos, C06 NotificadorOperadores, C07 CatalogoEventos, C24 AplicacionTerminalCampo</t>
        </is>
      </c>
      <c r="F5" s="9" t="inlineStr">
        <is>
          <t>C04 ClasificadorEventosRed, C05 GestorCicloVidaEventos, C07 CatalogoEventos, C24 AplicacionTerminalCampo</t>
        </is>
      </c>
      <c r="G5" s="9" t="inlineStr">
        <is>
          <t>Cubierto: 8 RF → 5 componente(s)</t>
        </is>
      </c>
      <c r="H5" s="9" t="inlineStr">
        <is>
          <t>CU-16, CU-17, CU-18; estados del evento (Parte V)</t>
        </is>
      </c>
      <c r="I5" s="9" t="inlineStr">
        <is>
          <t>Eventos; Terminal de Campo · QAW-1</t>
        </is>
      </c>
    </row>
    <row r="6" ht="30.75" customHeight="1">
      <c r="A6" s="8" t="inlineStr">
        <is>
          <t>R2</t>
        </is>
      </c>
      <c r="B6" s="10" t="inlineStr">
        <is>
          <t>RNF</t>
        </is>
      </c>
      <c r="C6" s="9" t="inlineStr">
        <is>
          <t>— (no genera casos de uso)</t>
        </is>
      </c>
      <c r="D6" s="9" t="inlineStr">
        <is>
          <t>S8 Subsistema de Terminal de Campo</t>
        </is>
      </c>
      <c r="E6" s="9" t="inlineStr">
        <is>
          <t>—</t>
        </is>
      </c>
      <c r="F6" s="9" t="inlineStr">
        <is>
          <t>C24 AplicacionTerminalCampo, C25 ControladorBotonesTerminal</t>
        </is>
      </c>
      <c r="G6" s="9" t="inlineStr">
        <is>
          <t>RNF: impulsa el diseño de los componentes de la columna F</t>
        </is>
      </c>
      <c r="H6" s="9" t="inlineStr">
        <is>
          <t>Actor «dispositivo» Terminal de Campo (restricción ergonómica)</t>
        </is>
      </c>
      <c r="I6" s="9" t="inlineStr">
        <is>
          <t>Terminal de Campo «SISD» · —</t>
        </is>
      </c>
    </row>
    <row r="7" ht="30.75" customHeight="1">
      <c r="A7" s="8" t="inlineStr">
        <is>
          <t>R3</t>
        </is>
      </c>
      <c r="B7" s="10" t="inlineStr">
        <is>
          <t>RF</t>
        </is>
      </c>
      <c r="C7" s="9" t="inlineStr">
        <is>
          <t>R3.1, R3.2, R3.3, R3.4</t>
        </is>
      </c>
      <c r="D7" s="9" t="inlineStr">
        <is>
          <t>S6 Subsistema de Administración y Seguridad</t>
        </is>
      </c>
      <c r="E7" s="9" t="inlineStr">
        <is>
          <t>C18 GestorUsuariosRoles, C20 AutorizadorAcceso</t>
        </is>
      </c>
      <c r="F7" s="9" t="inlineStr">
        <is>
          <t>C18 GestorUsuariosRoles, C20 AutorizadorAcceso</t>
        </is>
      </c>
      <c r="G7" s="9" t="inlineStr">
        <is>
          <t>Cubierto: 4 RF → 2 componente(s)</t>
        </is>
      </c>
      <c r="H7" s="9" t="inlineStr">
        <is>
          <t>R3.4 como precondición de CU-01 y CU-06 (bicolumnar)</t>
        </is>
      </c>
      <c r="I7" s="9" t="inlineStr">
        <is>
          <t>Servidores de seguridad · —</t>
        </is>
      </c>
    </row>
    <row r="8" ht="57.75" customHeight="1">
      <c r="A8" s="8" t="inlineStr">
        <is>
          <t>R4</t>
        </is>
      </c>
      <c r="B8" s="10" t="inlineStr">
        <is>
          <t>RF</t>
        </is>
      </c>
      <c r="C8" s="9" t="inlineStr">
        <is>
          <t>R4.1, R4.2, R4.3</t>
        </is>
      </c>
      <c r="D8" s="9" t="inlineStr">
        <is>
          <t>S2 Subsistema de Procesamiento de Eventos y Alarmas
S3 Subsistema de Almacenamiento y Consulta de Telemetría
S4 Subsistema de Monitoreo Georreferenciado</t>
        </is>
      </c>
      <c r="E8" s="9" t="inlineStr">
        <is>
          <t>C10 ServicioMapaRed, C11 ActualizadorTiempoReal</t>
        </is>
      </c>
      <c r="F8" s="9" t="inlineStr">
        <is>
          <t>C06 NotificadorOperadores, C09 ServicioConsultaTelemetria, C10 ServicioMapaRed, C11 ActualizadorTiempoReal, C13 CatalogoTopologiaRed, C14 ConsolaWebCOD</t>
        </is>
      </c>
      <c r="G8" s="9" t="inlineStr">
        <is>
          <t>Cubierto: 3 RF → 2 componente(s)</t>
        </is>
      </c>
      <c r="H8" s="9" t="inlineStr">
        <is>
          <t>CU-01, CU-02, CU-03 (bicolumnar de CU-01)</t>
        </is>
      </c>
      <c r="I8" s="9" t="inlineStr">
        <is>
          <t>Servidores web y de monitoreo · QAW-1</t>
        </is>
      </c>
    </row>
    <row r="9" ht="44.25" customHeight="1">
      <c r="A9" s="8" t="inlineStr">
        <is>
          <t>R5</t>
        </is>
      </c>
      <c r="B9" s="10" t="inlineStr">
        <is>
          <t>Proceso</t>
        </is>
      </c>
      <c r="C9" s="9" t="inlineStr">
        <is>
          <t>— (no genera casos de uso)</t>
        </is>
      </c>
      <c r="D9" s="9" t="inlineStr">
        <is>
          <t>—</t>
        </is>
      </c>
      <c r="E9" s="9" t="inlineStr">
        <is>
          <t>—</t>
        </is>
      </c>
      <c r="F9" s="9" t="inlineStr">
        <is>
          <t>—</t>
        </is>
      </c>
      <c r="G9" s="9" t="inlineStr">
        <is>
          <t>Proceso: se cumple al modelar todos los entregables en UML 2.5 (no se asigna a un componente)</t>
        </is>
      </c>
      <c r="H9" s="9" t="inlineStr">
        <is>
          <t>CUC y diagramas de estados en notación UML 2.5</t>
        </is>
      </c>
      <c r="I9" s="9" t="inlineStr">
        <is>
          <t>Todos los diagramas en UML 2.5 · —</t>
        </is>
      </c>
    </row>
    <row r="10" ht="44.25" customHeight="1">
      <c r="A10" s="8" t="inlineStr">
        <is>
          <t>R6</t>
        </is>
      </c>
      <c r="B10" s="10" t="inlineStr">
        <is>
          <t>RF</t>
        </is>
      </c>
      <c r="C10" s="9" t="inlineStr">
        <is>
          <t>R6.1, R6.2, R6.3</t>
        </is>
      </c>
      <c r="D10" s="9" t="inlineStr">
        <is>
          <t>S1 Subsistema de Ingesta y Mensajería AMI
S3 Subsistema de Almacenamiento y Consulta de Telemetría</t>
        </is>
      </c>
      <c r="E10" s="9" t="inlineStr">
        <is>
          <t>C01 ReceptorDatagramasAMI, C08 AlmacenSeriesTiempo, C09 ServicioConsultaTelemetria</t>
        </is>
      </c>
      <c r="F10" s="9" t="inlineStr">
        <is>
          <t>C01 ReceptorDatagramasAMI, C03 BusMensajeriaTelemetria, C08 AlmacenSeriesTiempo, C09 ServicioConsultaTelemetria</t>
        </is>
      </c>
      <c r="G10" s="9" t="inlineStr">
        <is>
          <t>Cubierto: 3 RF → 3 componente(s)</t>
        </is>
      </c>
      <c r="H10" s="9" t="inlineStr">
        <is>
          <t>CU-12, CU-14, CU-15</t>
        </is>
      </c>
      <c r="I10" s="9" t="inlineStr">
        <is>
          <t>Ingesta; Mensajería; Series de tiempo · QAW-1, QAW-3</t>
        </is>
      </c>
    </row>
    <row r="11" ht="44.25" customHeight="1">
      <c r="A11" s="8" t="inlineStr">
        <is>
          <t>R7</t>
        </is>
      </c>
      <c r="B11" s="10" t="inlineStr">
        <is>
          <t>RF</t>
        </is>
      </c>
      <c r="C11" s="9" t="inlineStr">
        <is>
          <t>R7.6, R7.1, R7.2, R7.3, R7.4, R7.5</t>
        </is>
      </c>
      <c r="D11" s="9" t="inlineStr">
        <is>
          <t>S4 Subsistema de Monitoreo Georreferenciado
S5 Subsistema de Analítica de Balance y Pérdidas</t>
        </is>
      </c>
      <c r="E11" s="9" t="inlineStr">
        <is>
          <t>C15 OrquestadorAnaliticaPerdidas, C16 CalculadorBalanceTransformador, C17 AgregadorBalanceCircuito</t>
        </is>
      </c>
      <c r="F11" s="9" t="inlineStr">
        <is>
          <t>C13 CatalogoTopologiaRed, C15 OrquestadorAnaliticaPerdidas, C16 CalculadorBalanceTransformador, C17 AgregadorBalanceCircuito</t>
        </is>
      </c>
      <c r="G11" s="9" t="inlineStr">
        <is>
          <t>Cubierto: 6 RF → 3 componente(s)</t>
        </is>
      </c>
      <c r="H11" s="9" t="inlineStr">
        <is>
          <t>CU-06 a CU-11 (bicolumnar de CU-06)</t>
        </is>
      </c>
      <c r="I11" s="9" t="inlineStr">
        <is>
          <t>Analítica «MIMD/SIMD»; Topología · QAW-3</t>
        </is>
      </c>
    </row>
    <row r="12" ht="30" customHeight="1">
      <c r="A12" s="8" t="inlineStr">
        <is>
          <t>R8</t>
        </is>
      </c>
      <c r="B12" s="10" t="inlineStr">
        <is>
          <t>RF</t>
        </is>
      </c>
      <c r="C12" s="9" t="inlineStr">
        <is>
          <t>R8.1</t>
        </is>
      </c>
      <c r="D12" s="9" t="inlineStr">
        <is>
          <t>S6 Subsistema de Administración y Seguridad</t>
        </is>
      </c>
      <c r="E12" s="9" t="inlineStr">
        <is>
          <t>C21 GestorAsignaciones</t>
        </is>
      </c>
      <c r="F12" s="9" t="inlineStr">
        <is>
          <t>—</t>
        </is>
      </c>
      <c r="G12" s="9" t="inlineStr">
        <is>
          <t>Cubierto: 1 RF → 1 componente(s)</t>
        </is>
      </c>
      <c r="H12" s="9" t="inlineStr">
        <is>
          <t>CU-21</t>
        </is>
      </c>
      <c r="I12" s="9" t="inlineStr">
        <is>
          <t>Servidores de seguridad · —</t>
        </is>
      </c>
    </row>
    <row r="13" ht="44.25" customHeight="1">
      <c r="A13" s="8" t="inlineStr">
        <is>
          <t>R9</t>
        </is>
      </c>
      <c r="B13" s="10" t="inlineStr">
        <is>
          <t>RF</t>
        </is>
      </c>
      <c r="C13" s="9" t="inlineStr">
        <is>
          <t>R9.1, R9.2</t>
        </is>
      </c>
      <c r="D13" s="9" t="inlineStr">
        <is>
          <t>S4 Subsistema de Monitoreo Georreferenciado
S6 Subsistema de Administración y Seguridad</t>
        </is>
      </c>
      <c r="E13" s="9" t="inlineStr">
        <is>
          <t>C12 GestorVistaOperador</t>
        </is>
      </c>
      <c r="F13" s="9" t="inlineStr">
        <is>
          <t>C11 ActualizadorTiempoReal, C12 GestorVistaOperador, C13 CatalogoTopologiaRed, C21 GestorAsignaciones</t>
        </is>
      </c>
      <c r="G13" s="9" t="inlineStr">
        <is>
          <t>Cubierto: 2 RF → 1 componente(s)</t>
        </is>
      </c>
      <c r="H13" s="9" t="inlineStr">
        <is>
          <t>CU-04 («extend» de CU-01), CU-05</t>
        </is>
      </c>
      <c r="I13" s="9" t="inlineStr">
        <is>
          <t>Servidores web y de monitoreo; Topología · QAW-1</t>
        </is>
      </c>
    </row>
    <row r="14" ht="44.25" customHeight="1">
      <c r="A14" s="8" t="inlineStr">
        <is>
          <t>R10</t>
        </is>
      </c>
      <c r="B14" s="10" t="inlineStr">
        <is>
          <t>RF</t>
        </is>
      </c>
      <c r="C14" s="9" t="inlineStr">
        <is>
          <t>R10.1, R10.3, R10.2</t>
        </is>
      </c>
      <c r="D14" s="9" t="inlineStr">
        <is>
          <t>S4 Subsistema de Monitoreo Georreferenciado
S6 Subsistema de Administración y Seguridad
S7 Subsistema de Servicios Abiertos (APIs)</t>
        </is>
      </c>
      <c r="E14" s="9" t="inlineStr">
        <is>
          <t>C19 AutenticadorSesiones</t>
        </is>
      </c>
      <c r="F14" s="9" t="inlineStr">
        <is>
          <t>C14 ConsolaWebCOD, C19 AutenticadorSesiones, C20 AutorizadorAcceso, C22 GatewayAPIServicios</t>
        </is>
      </c>
      <c r="G14" s="9" t="inlineStr">
        <is>
          <t>Cubierto: 3 RF → 1 componente(s)</t>
        </is>
      </c>
      <c r="H14" s="9" t="inlineStr">
        <is>
          <t>CU-19; estados de la sesión (Parte V)</t>
        </is>
      </c>
      <c r="I14" s="9" t="inlineStr">
        <is>
          <t>Servidores de seguridad · —</t>
        </is>
      </c>
    </row>
    <row r="15" ht="44.25" customHeight="1">
      <c r="A15" s="8" t="inlineStr">
        <is>
          <t>R11</t>
        </is>
      </c>
      <c r="B15" s="10" t="inlineStr">
        <is>
          <t>RNF</t>
        </is>
      </c>
      <c r="C15" s="9" t="inlineStr">
        <is>
          <t>— (no genera casos de uso)</t>
        </is>
      </c>
      <c r="D15" s="9" t="inlineStr">
        <is>
          <t>S1 Subsistema de Ingesta y Mensajería AMI
S2 Subsistema de Procesamiento de Eventos y Alarmas
S3 Subsistema de Almacenamiento y Consulta de Telemetría
S5 Subsistema de Analítica de Balance y Pérdidas</t>
        </is>
      </c>
      <c r="E15" s="9" t="inlineStr">
        <is>
          <t>—</t>
        </is>
      </c>
      <c r="F15" s="9" t="inlineStr">
        <is>
          <t>C03 BusMensajeriaTelemetria, C04 ClasificadorEventosRed, C08 AlmacenSeriesTiempo, C15 OrquestadorAnaliticaPerdidas</t>
        </is>
      </c>
      <c r="G15" s="9" t="inlineStr">
        <is>
          <t>RNF: impulsa el diseño de los componentes de la columna F</t>
        </is>
      </c>
      <c r="H15" s="9" t="inlineStr">
        <is>
          <t>— (RNF: deployment y QAW)</t>
        </is>
      </c>
      <c r="I15" s="9" t="inlineStr">
        <is>
          <t>Mensajería y Series de tiempo replicados · QAW-2, QAW-3</t>
        </is>
      </c>
    </row>
    <row r="16" ht="30" customHeight="1">
      <c r="A16" s="8" t="inlineStr">
        <is>
          <t>R12</t>
        </is>
      </c>
      <c r="B16" s="10" t="inlineStr">
        <is>
          <t>RF</t>
        </is>
      </c>
      <c r="C16" s="9" t="inlineStr">
        <is>
          <t>R12.1</t>
        </is>
      </c>
      <c r="D16" s="9" t="inlineStr">
        <is>
          <t>S1 Subsistema de Ingesta y Mensajería AMI</t>
        </is>
      </c>
      <c r="E16" s="9" t="inlineStr">
        <is>
          <t>C02 ParserDatagramaAMI</t>
        </is>
      </c>
      <c r="F16" s="9" t="inlineStr">
        <is>
          <t>C02 ParserDatagramaAMI</t>
        </is>
      </c>
      <c r="G16" s="9" t="inlineStr">
        <is>
          <t>Cubierto: 1 RF → 1 componente(s)</t>
        </is>
      </c>
      <c r="H16" s="9" t="inlineStr">
        <is>
          <t>CU-13</t>
        </is>
      </c>
      <c r="I16" s="9" t="inlineStr">
        <is>
          <t>Clúster de ingesta · QAW-1</t>
        </is>
      </c>
    </row>
    <row r="17" ht="57.75" customHeight="1">
      <c r="A17" s="8" t="inlineStr">
        <is>
          <t>R13</t>
        </is>
      </c>
      <c r="B17" s="10" t="inlineStr">
        <is>
          <t>RNF</t>
        </is>
      </c>
      <c r="C17" s="9" t="inlineStr">
        <is>
          <t>— (no genera casos de uso)</t>
        </is>
      </c>
      <c r="D17" s="9" t="inlineStr">
        <is>
          <t>S1 Subsistema de Ingesta y Mensajería AMI
S2 Subsistema de Procesamiento de Eventos y Alarmas
S3 Subsistema de Almacenamiento y Consulta de Telemetría
S5 Subsistema de Analítica de Balance y Pérdidas</t>
        </is>
      </c>
      <c r="E17" s="9" t="inlineStr">
        <is>
          <t>—</t>
        </is>
      </c>
      <c r="F17" s="9" t="inlineStr">
        <is>
          <t>C01 ReceptorDatagramasAMI, C02 ParserDatagramaAMI, C03 BusMensajeriaTelemetria, C04 ClasificadorEventosRed, C08 AlmacenSeriesTiempo, C16 CalculadorBalanceTransformador</t>
        </is>
      </c>
      <c r="G17" s="9" t="inlineStr">
        <is>
          <t>RNF: impulsa el diseño de los componentes de la columna F</t>
        </is>
      </c>
      <c r="H17" s="9" t="inlineStr">
        <is>
          <t>— (RNF: deployment y QAW)</t>
        </is>
      </c>
      <c r="I17" s="9" t="inlineStr">
        <is>
          <t>Todos los clústeres «MIMD» · QAW-2</t>
        </is>
      </c>
    </row>
    <row r="18" ht="30.75" customHeight="1">
      <c r="A18" s="8" t="inlineStr">
        <is>
          <t>R14</t>
        </is>
      </c>
      <c r="B18" s="10" t="inlineStr">
        <is>
          <t>RF</t>
        </is>
      </c>
      <c r="C18" s="9" t="inlineStr">
        <is>
          <t>R14.3, R14.4, R14.1, R14.2</t>
        </is>
      </c>
      <c r="D18" s="9" t="inlineStr">
        <is>
          <t>S7 Subsistema de Servicios Abiertos (APIs)</t>
        </is>
      </c>
      <c r="E18" s="9" t="inlineStr">
        <is>
          <t>C22 GatewayAPIServicios, C23 CalculadorIndicesCalidad</t>
        </is>
      </c>
      <c r="F18" s="9" t="inlineStr">
        <is>
          <t>C22 GatewayAPIServicios, C23 CalculadorIndicesCalidad</t>
        </is>
      </c>
      <c r="G18" s="9" t="inlineStr">
        <is>
          <t>Cubierto: 4 RF → 2 componente(s)</t>
        </is>
      </c>
      <c r="H18" s="9" t="inlineStr">
        <is>
          <t>— (fuera del alcance del CUC de R4/R7)</t>
        </is>
      </c>
      <c r="I18" s="9" t="inlineStr">
        <is>
          <t>Zona de APIs · —</t>
        </is>
      </c>
    </row>
    <row r="19" ht="44.25" customHeight="1">
      <c r="A19" s="8" t="inlineStr">
        <is>
          <t>R15</t>
        </is>
      </c>
      <c r="B19" s="10" t="inlineStr">
        <is>
          <t>Proceso</t>
        </is>
      </c>
      <c r="C19" s="9" t="inlineStr">
        <is>
          <t>— (no genera casos de uso)</t>
        </is>
      </c>
      <c r="D19" s="9" t="inlineStr">
        <is>
          <t>S2 Subsistema de Procesamiento de Eventos y Alarmas
S6 Subsistema de Administración y Seguridad</t>
        </is>
      </c>
      <c r="E19" s="9" t="inlineStr">
        <is>
          <t>—</t>
        </is>
      </c>
      <c r="F19" s="9" t="inlineStr">
        <is>
          <t>C05 GestorCicloVidaEventos, C19 AutenticadorSesiones</t>
        </is>
      </c>
      <c r="G19" s="9" t="inlineStr">
        <is>
          <t>Proceso: diagramas de estados del evento y de la sesión; los estados los implementan C05 y C19</t>
        </is>
      </c>
      <c r="H19" s="9" t="inlineStr">
        <is>
          <t>Diagramas de estados del evento y de la sesión (Parte V)</t>
        </is>
      </c>
      <c r="I19" s="9" t="inlineStr">
        <is>
          <t>— (diagramas de estados, Parte V)</t>
        </is>
      </c>
    </row>
  </sheetData>
  <mergeCells count="2">
    <mergeCell ref="A2:G2"/>
    <mergeCell ref="A1:G1"/>
  </mergeCells>
  <pageMargins left="0.75" right="0.75" top="1" bottom="1" header="0.511811023622047" footer="0.511811023622047"/>
  <pageSetup orientation="landscape" paperSize="9" fitToHeight="0" fitToWidth="1" horizontalDpi="300" verticalDpi="300"/>
</worksheet>
</file>

<file path=xl/worksheets/sheet6.xml><?xml version="1.0" encoding="utf-8"?>
<worksheet xmlns="http://schemas.openxmlformats.org/spreadsheetml/2006/main">
  <sheetPr>
    <outlinePr summaryBelow="1" summaryRight="1"/>
    <pageSetUpPr fitToPage="1"/>
  </sheetPr>
  <dimension ref="A1:I29"/>
  <sheetViews>
    <sheetView zoomScaleNormal="100" workbookViewId="0">
      <pane xSplit="2" ySplit="4" topLeftCell="C26" activePane="bottomRight" state="frozen"/>
      <selection pane="topRight" activeCell="C1" sqref="C1"/>
      <selection pane="bottomLeft" activeCell="A5" sqref="A5"/>
      <selection pane="bottomRight" activeCell="A4" sqref="A4:XFD4"/>
    </sheetView>
  </sheetViews>
  <sheetFormatPr baseColWidth="10" defaultColWidth="8.6640625" defaultRowHeight="14.4"/>
  <cols>
    <col width="8" customWidth="1" min="1" max="1"/>
    <col width="30" customWidth="1" min="2" max="3"/>
    <col width="10" customWidth="1" min="4" max="4"/>
    <col width="62" customWidth="1" min="5" max="5"/>
    <col width="30" customWidth="1" min="6" max="6"/>
    <col width="54" customWidth="1" min="7" max="7"/>
    <col width="16" customWidth="1" min="8" max="9"/>
  </cols>
  <sheetData>
    <row r="1" ht="21.75" customHeight="1">
      <c r="A1" s="7" t="n"/>
    </row>
    <row r="2">
      <c r="A2" s="6" t="n"/>
    </row>
    <row r="3"/>
    <row r="4" ht="36" customFormat="1" customHeight="1" s="16">
      <c r="A4" s="33" t="inlineStr">
        <is>
          <t>Código</t>
        </is>
      </c>
      <c r="B4" s="33" t="inlineStr">
        <is>
          <t>Componente</t>
        </is>
      </c>
      <c r="C4" s="33" t="inlineStr">
        <is>
          <t>Subsistema</t>
        </is>
      </c>
      <c r="D4" s="33" t="inlineStr">
        <is>
          <t>Dominios</t>
        </is>
      </c>
      <c r="E4" s="33" t="inlineStr">
        <is>
          <t>Responsabilidades</t>
        </is>
      </c>
      <c r="F4" s="33" t="inlineStr">
        <is>
          <t>Interfaces provistas</t>
        </is>
      </c>
      <c r="G4" s="33" t="inlineStr">
        <is>
          <t>Interfaces requeridas (colaborador)</t>
        </is>
      </c>
      <c r="H4" s="33" t="inlineStr">
        <is>
          <t>RF asignados</t>
        </is>
      </c>
      <c r="I4" s="33" t="inlineStr">
        <is>
          <t>RNF/RAS soportados</t>
        </is>
      </c>
    </row>
    <row r="5" ht="98.25" customHeight="1">
      <c r="A5" s="8" t="inlineStr">
        <is>
          <t>C01</t>
        </is>
      </c>
      <c r="B5" s="12" t="inlineStr">
        <is>
          <t>ReceptorDatagramasAMI</t>
        </is>
      </c>
      <c r="C5" s="9" t="inlineStr">
        <is>
          <t>Subsistema de Ingesta y Mensajería AMI</t>
        </is>
      </c>
      <c r="D5" s="10" t="inlineStr">
        <is>
          <t>D1</t>
        </is>
      </c>
      <c r="E5" s="9" t="inlineStr">
        <is>
          <t>• Recibir los datagramas de telemetría AMI desde los head-end/gateways (NB-IoT/4G, RF Mesh)
• Validar el formato mínimo y confirmar la recepción
• Publicar el datagrama crudo en el bus de mensajería, particionado por transformer_id
• Escalar horizontalmente con balanceo de carga (instancias sin estado)</t>
        </is>
      </c>
      <c r="F5" s="9" t="inlineStr">
        <is>
          <t>• IIngestaDatagrama</t>
        </is>
      </c>
      <c r="G5" s="9" t="inlineStr">
        <is>
          <t>• IBusMensajes (C03 BusMensajeriaTelemetria)</t>
        </is>
      </c>
      <c r="H5" s="10" t="inlineStr">
        <is>
          <t>R6.1</t>
        </is>
      </c>
      <c r="I5" s="10" t="inlineStr">
        <is>
          <t>R6, R13</t>
        </is>
      </c>
    </row>
    <row r="6" ht="84.75" customHeight="1">
      <c r="A6" s="8" t="inlineStr">
        <is>
          <t>C02</t>
        </is>
      </c>
      <c r="B6" s="12" t="inlineStr">
        <is>
          <t>ParserDatagramaAMI</t>
        </is>
      </c>
      <c r="C6" s="9" t="inlineStr">
        <is>
          <t>Subsistema de Ingesta y Mensajería AMI</t>
        </is>
      </c>
      <c r="D6" s="10" t="inlineStr">
        <is>
          <t>D1</t>
        </is>
      </c>
      <c r="E6" s="9" t="inlineStr">
        <is>
          <t>• Extraer meter_id, transformer_id, timestamp, voltaje RMS, potencia activa, kWh y código de evento
• Normalizar el timestamp (YYYY-MM-DD HH24:MI:SS) y descartar datagramas inválidos hacia una cola de errores
• Publicar la lectura normalizada para clasificación, almacenamiento y mapa</t>
        </is>
      </c>
      <c r="F6" s="9" t="inlineStr">
        <is>
          <t>• ILecturasNormalizadas</t>
        </is>
      </c>
      <c r="G6" s="9" t="inlineStr">
        <is>
          <t>• IBusMensajes (C03 BusMensajeriaTelemetria)</t>
        </is>
      </c>
      <c r="H6" s="10" t="inlineStr">
        <is>
          <t>R12.1</t>
        </is>
      </c>
      <c r="I6" s="10" t="inlineStr">
        <is>
          <t>R12, R13</t>
        </is>
      </c>
    </row>
    <row r="7" ht="71.25" customHeight="1">
      <c r="A7" s="8" t="inlineStr">
        <is>
          <t>C03</t>
        </is>
      </c>
      <c r="B7" s="12" t="inlineStr">
        <is>
          <t>BusMensajeriaTelemetria</t>
        </is>
      </c>
      <c r="C7" s="9" t="inlineStr">
        <is>
          <t>Subsistema de Ingesta y Mensajería AMI</t>
        </is>
      </c>
      <c r="D7" s="10" t="inlineStr">
        <is>
          <t>D1</t>
        </is>
      </c>
      <c r="E7" s="9" t="inlineStr">
        <is>
          <t>• Desacoplar productores y consumidores con temas particionados y replicados
• Retener mensajes para reproceso y absorber picos (p. ej. Last Gasp masivos)
• Garantizar entrega al menos una vez ante la caída de un nodo</t>
        </is>
      </c>
      <c r="F7" s="9" t="inlineStr">
        <is>
          <t>• IBusMensajes</t>
        </is>
      </c>
      <c r="G7" s="9" t="inlineStr">
        <is>
          <t>• — (sin colaboradores; usa su propio almacenamiento o recibe solo llamadas)</t>
        </is>
      </c>
      <c r="H7" s="10" t="inlineStr">
        <is>
          <t>— (soporte)</t>
        </is>
      </c>
      <c r="I7" s="10" t="inlineStr">
        <is>
          <t>R11, R13, R6</t>
        </is>
      </c>
    </row>
    <row r="8" ht="71.25" customHeight="1">
      <c r="A8" s="8" t="inlineStr">
        <is>
          <t>C04</t>
        </is>
      </c>
      <c r="B8" s="12" t="inlineStr">
        <is>
          <t>ClasificadorEventosRed</t>
        </is>
      </c>
      <c r="C8" s="9" t="inlineStr">
        <is>
          <t>Subsistema de Procesamiento de Eventos y Alarmas</t>
        </is>
      </c>
      <c r="D8" s="10" t="inlineStr">
        <is>
          <t>D2</t>
        </is>
      </c>
      <c r="E8" s="9" t="inlineStr">
        <is>
          <t>• Detectar y categorizar eventos a partir del código de evento (sobretensión, caída de voltaje, corte, tamper)
• Asignar la prioridad según reglas configurables del catálogo
• Enviar el evento clasificado al gestor de ciclo de vida
• Procesar en paralelo por partición (MIMD)</t>
        </is>
      </c>
      <c r="F8" s="9" t="inlineStr">
        <is>
          <t>• IClasificacionEventos</t>
        </is>
      </c>
      <c r="G8" s="9" t="inlineStr">
        <is>
          <t>• IBusMensajes (C03 BusMensajeriaTelemetria)
• ILecturasNormalizadas (C02 ParserDatagramaAMI)
• ICatalogoEventos (C07 CatalogoEventos)</t>
        </is>
      </c>
      <c r="H8" s="10" t="inlineStr">
        <is>
          <t>R1.1, R1.2</t>
        </is>
      </c>
      <c r="I8" s="10" t="inlineStr">
        <is>
          <t>R1, R11, R13</t>
        </is>
      </c>
    </row>
    <row r="9" ht="71.25" customHeight="1">
      <c r="A9" s="8" t="inlineStr">
        <is>
          <t>C05</t>
        </is>
      </c>
      <c r="B9" s="12" t="inlineStr">
        <is>
          <t>GestorCicloVidaEventos</t>
        </is>
      </c>
      <c r="C9" s="9" t="inlineStr">
        <is>
          <t>Subsistema de Procesamiento de Eventos y Alarmas</t>
        </is>
      </c>
      <c r="D9" s="10" t="inlineStr">
        <is>
          <t>D2</t>
        </is>
      </c>
      <c r="E9" s="9" t="inlineStr">
        <is>
          <t>• Registrar cada evento (de red o de campo) con su estado: registrado, notificado, en atención, normalizado
• Permitir tomar un evento en atención y marcarlo como normalizado
• Exponer la consulta de eventos activos e históricos</t>
        </is>
      </c>
      <c r="F9" s="9" t="inlineStr">
        <is>
          <t>• ICicloVidaEventos</t>
        </is>
      </c>
      <c r="G9" s="9" t="inlineStr">
        <is>
          <t>• IBusMensajes (C03 BusMensajeriaTelemetria)
• IClasificacionEventos (C04 ClasificadorEventosRed)
• INotificacionOperador (C06 NotificadorOperadores)</t>
        </is>
      </c>
      <c r="H9" s="10" t="inlineStr">
        <is>
          <t>R1.3, R1.5</t>
        </is>
      </c>
      <c r="I9" s="10" t="inlineStr">
        <is>
          <t>R15, R1</t>
        </is>
      </c>
    </row>
    <row r="10" ht="71.25" customHeight="1">
      <c r="A10" s="8" t="inlineStr">
        <is>
          <t>C06</t>
        </is>
      </c>
      <c r="B10" s="12" t="inlineStr">
        <is>
          <t>NotificadorOperadores</t>
        </is>
      </c>
      <c r="C10" s="9" t="inlineStr">
        <is>
          <t>Subsistema de Procesamiento de Eventos y Alarmas</t>
        </is>
      </c>
      <c r="D10" s="10" t="inlineStr">
        <is>
          <t>D2</t>
        </is>
      </c>
      <c r="E10" s="9" t="inlineStr">
        <is>
          <t>• Notificar al operador del COD los eventos registrados según su prioridad y zona asignada
• Marcar el evento como «notificado»
• Entregar la notificación al navegador por canal en tiempo real</t>
        </is>
      </c>
      <c r="F10" s="9" t="inlineStr">
        <is>
          <t>• INotificacionOperador</t>
        </is>
      </c>
      <c r="G10" s="9" t="inlineStr">
        <is>
          <t>• IBusMensajes (C03 BusMensajeriaTelemetria)</t>
        </is>
      </c>
      <c r="H10" s="10" t="inlineStr">
        <is>
          <t>R1.4</t>
        </is>
      </c>
      <c r="I10" s="10" t="inlineStr">
        <is>
          <t>R4</t>
        </is>
      </c>
    </row>
    <row r="11" ht="71.25" customHeight="1">
      <c r="A11" s="8" t="inlineStr">
        <is>
          <t>C07</t>
        </is>
      </c>
      <c r="B11" s="12" t="inlineStr">
        <is>
          <t>CatalogoEventos</t>
        </is>
      </c>
      <c r="C11" s="9" t="inlineStr">
        <is>
          <t>Subsistema de Procesamiento de Eventos y Alarmas</t>
        </is>
      </c>
      <c r="D11" s="10" t="inlineStr">
        <is>
          <t>D2</t>
        </is>
      </c>
      <c r="E11" s="9" t="inlineStr">
        <is>
          <t>• Mantener el catálogo de eventos con categoría y prioridad parametrizables
• Publicar el catálogo a la terminal de campo y al clasificador
• Aplicar cambios de reglas sin redespliegue (volatilidad funcional)</t>
        </is>
      </c>
      <c r="F11" s="9" t="inlineStr">
        <is>
          <t>• ICatalogoEventos</t>
        </is>
      </c>
      <c r="G11" s="9" t="inlineStr">
        <is>
          <t>• IAutorizacion (C20 AutorizadorAcceso)</t>
        </is>
      </c>
      <c r="H11" s="10" t="inlineStr">
        <is>
          <t>R1.6</t>
        </is>
      </c>
      <c r="I11" s="10" t="inlineStr">
        <is>
          <t>R1</t>
        </is>
      </c>
    </row>
    <row r="12" ht="57.75" customHeight="1">
      <c r="A12" s="8" t="inlineStr">
        <is>
          <t>C08</t>
        </is>
      </c>
      <c r="B12" s="12" t="inlineStr">
        <is>
          <t>AlmacenSeriesTiempo</t>
        </is>
      </c>
      <c r="C12" s="9" t="inlineStr">
        <is>
          <t>Subsistema de Almacenamiento y Consulta de Telemetría</t>
        </is>
      </c>
      <c r="D12" s="10" t="inlineStr">
        <is>
          <t>D1</t>
        </is>
      </c>
      <c r="E12" s="9" t="inlineStr">
        <is>
          <t>• Persistir lecturas y eventos en una base de series de tiempo particionada por tiempo y transformador
• Ofrecer agregación mensual eficiente para el balance
• Replicar datos para tolerar la caída de un nodo</t>
        </is>
      </c>
      <c r="F12" s="9" t="inlineStr">
        <is>
          <t>• IAlmacenSeries</t>
        </is>
      </c>
      <c r="G12" s="9" t="inlineStr">
        <is>
          <t>• IBusMensajes (C03 BusMensajeriaTelemetria)
• ILecturasNormalizadas (C02 ParserDatagramaAMI)</t>
        </is>
      </c>
      <c r="H12" s="10" t="inlineStr">
        <is>
          <t>R6.2</t>
        </is>
      </c>
      <c r="I12" s="10" t="inlineStr">
        <is>
          <t>R6, R11, R13</t>
        </is>
      </c>
    </row>
    <row r="13" ht="57.75" customHeight="1">
      <c r="A13" s="8" t="inlineStr">
        <is>
          <t>C09</t>
        </is>
      </c>
      <c r="B13" s="12" t="inlineStr">
        <is>
          <t>ServicioConsultaTelemetria</t>
        </is>
      </c>
      <c r="C13" s="9" t="inlineStr">
        <is>
          <t>Subsistema de Almacenamiento y Consulta de Telemetría</t>
        </is>
      </c>
      <c r="D13" s="10" t="inlineStr">
        <is>
          <t>D1</t>
        </is>
      </c>
      <c r="E13" s="9" t="inlineStr">
        <is>
          <t>• Combinar histórico y tiempo real en una sola consulta
• Servir consultas por rango, medidor, transformador o circuito
• Aislar a los consumidores del esquema físico de almacenamiento</t>
        </is>
      </c>
      <c r="F13" s="9" t="inlineStr">
        <is>
          <t>• IConsultaTelemetria</t>
        </is>
      </c>
      <c r="G13" s="9" t="inlineStr">
        <is>
          <t>• IAlmacenSeries (C08 AlmacenSeriesTiempo)</t>
        </is>
      </c>
      <c r="H13" s="10" t="inlineStr">
        <is>
          <t>R6.3</t>
        </is>
      </c>
      <c r="I13" s="10" t="inlineStr">
        <is>
          <t>R6, R4</t>
        </is>
      </c>
    </row>
    <row r="14" ht="84.75" customHeight="1">
      <c r="A14" s="8" t="inlineStr">
        <is>
          <t>C10</t>
        </is>
      </c>
      <c r="B14" s="12" t="inlineStr">
        <is>
          <t>ServicioMapaRed</t>
        </is>
      </c>
      <c r="C14" s="9" t="inlineStr">
        <is>
          <t>Subsistema de Monitoreo Georreferenciado</t>
        </is>
      </c>
      <c r="D14" s="10" t="inlineStr">
        <is>
          <t>D4</t>
        </is>
      </c>
      <c r="E14" s="9" t="inlineStr">
        <is>
          <t>• Construir el mapa georreferenciado de Cali con transformadores y circuitos
• Calcular el estado de cada elemento (normal, advertencia, corte, sospecha de fraude) desde lecturas, eventos activos y el último % de pérdidas no técnicas del balance (C15)
• Aplicar el filtro de zonas cuando se solicita una vista de operador</t>
        </is>
      </c>
      <c r="F14" s="9" t="inlineStr">
        <is>
          <t>• IMapaRed</t>
        </is>
      </c>
      <c r="G14" s="9" t="inlineStr">
        <is>
          <t>• ICicloVidaEventos (C05 GestorCicloVidaEventos)
• IConsultaTelemetria (C09 ServicioConsultaTelemetria)
• ITopologiaRed (C13 CatalogoTopologiaRed)
• IAutorizacion (C20 AutorizadorAcceso)
• IOrquestacionAnalitica (C15 OrquestadorAnaliticaPerdidas)</t>
        </is>
      </c>
      <c r="H14" s="10" t="inlineStr">
        <is>
          <t>R4.1, R4.2</t>
        </is>
      </c>
      <c r="I14" s="10" t="inlineStr">
        <is>
          <t>R4</t>
        </is>
      </c>
    </row>
    <row r="15" ht="57.75" customHeight="1">
      <c r="A15" s="8" t="inlineStr">
        <is>
          <t>C11</t>
        </is>
      </c>
      <c r="B15" s="12" t="inlineStr">
        <is>
          <t>ActualizadorTiempoReal</t>
        </is>
      </c>
      <c r="C15" s="9" t="inlineStr">
        <is>
          <t>Subsistema de Monitoreo Georreferenciado</t>
        </is>
      </c>
      <c r="D15" s="10" t="inlineStr">
        <is>
          <t>D4</t>
        </is>
      </c>
      <c r="E15" s="9" t="inlineStr">
        <is>
          <t>• Suscribirse a las lecturas y eventos del bus
• Empujar al navegador solo los cambios de estado de los elementos visibles
• Mantener conexiones concurrentes de los 30 operadores</t>
        </is>
      </c>
      <c r="F15" s="9" t="inlineStr">
        <is>
          <t>• IActualizacionTiempoReal</t>
        </is>
      </c>
      <c r="G15" s="9" t="inlineStr">
        <is>
          <t>• IBusMensajes (C03 BusMensajeriaTelemetria)
• ILecturasNormalizadas (C02 ParserDatagramaAMI)</t>
        </is>
      </c>
      <c r="H15" s="10" t="inlineStr">
        <is>
          <t>R4.3</t>
        </is>
      </c>
      <c r="I15" s="10" t="inlineStr">
        <is>
          <t>R4, R9</t>
        </is>
      </c>
    </row>
    <row r="16" ht="71.25" customHeight="1">
      <c r="A16" s="8" t="inlineStr">
        <is>
          <t>C12</t>
        </is>
      </c>
      <c r="B16" s="12" t="inlineStr">
        <is>
          <t>GestorVistaOperador</t>
        </is>
      </c>
      <c r="C16" s="9" t="inlineStr">
        <is>
          <t>Subsistema de Monitoreo Georreferenciado</t>
        </is>
      </c>
      <c r="D16" s="10" t="inlineStr">
        <is>
          <t>D4</t>
        </is>
      </c>
      <c r="E16" s="9" t="inlineStr">
        <is>
          <t>• Obtener las zonas y circuitos asignados al operador autenticado
• Listar los transformadores y medidores inteligentes de cada circuito
• Restringir la vista a lo asignado</t>
        </is>
      </c>
      <c r="F16" s="9" t="inlineStr">
        <is>
          <t>• IVistaOperador</t>
        </is>
      </c>
      <c r="G16" s="9" t="inlineStr">
        <is>
          <t>• ITopologiaRed (C13 CatalogoTopologiaRed)
• IMapaRed (C10 ServicioMapaRed)
• IAutorizacion (C20 AutorizadorAcceso)
• IAsignacionZonas (C21 GestorAsignaciones)</t>
        </is>
      </c>
      <c r="H16" s="10" t="inlineStr">
        <is>
          <t>R9.1, R9.2</t>
        </is>
      </c>
      <c r="I16" s="10" t="inlineStr">
        <is>
          <t>R9</t>
        </is>
      </c>
    </row>
    <row r="17" ht="57.75" customHeight="1">
      <c r="A17" s="8" t="inlineStr">
        <is>
          <t>C13</t>
        </is>
      </c>
      <c r="B17" s="12" t="inlineStr">
        <is>
          <t>CatalogoTopologiaRed</t>
        </is>
      </c>
      <c r="C17" s="9" t="inlineStr">
        <is>
          <t>Subsistema de Monitoreo Georreferenciado</t>
        </is>
      </c>
      <c r="D17" s="10" t="inlineStr">
        <is>
          <t>D4</t>
        </is>
      </c>
      <c r="E17" s="9" t="inlineStr">
        <is>
          <t>• Mantener la jerarquía subestación → circuito → transformador → medidor y su georreferencia
• Responder asociaciones medidor–transformador–circuito
• Cargar la topología desde el CSV del proyecto piloto</t>
        </is>
      </c>
      <c r="F17" s="9" t="inlineStr">
        <is>
          <t>• ITopologiaRed</t>
        </is>
      </c>
      <c r="G17" s="9" t="inlineStr">
        <is>
          <t>• — (sin colaboradores; usa su propio almacenamiento o recibe solo llamadas)</t>
        </is>
      </c>
      <c r="H17" s="10" t="inlineStr">
        <is>
          <t>— (soporte)</t>
        </is>
      </c>
      <c r="I17" s="10" t="inlineStr">
        <is>
          <t>R4, R7, R9</t>
        </is>
      </c>
    </row>
    <row r="18" ht="165.75" customHeight="1">
      <c r="A18" s="8" t="inlineStr">
        <is>
          <t>C14</t>
        </is>
      </c>
      <c r="B18" s="12" t="inlineStr">
        <is>
          <t>ConsolaWebCOD</t>
        </is>
      </c>
      <c r="C18" s="9" t="inlineStr">
        <is>
          <t>Subsistema de Monitoreo Georreferenciado</t>
        </is>
      </c>
      <c r="D18" s="10" t="inlineStr">
        <is>
          <t>D4</t>
        </is>
      </c>
      <c r="E18" s="9" t="inlineStr">
        <is>
          <t>• Presentar el mapa, las vistas de operador, el balance y la administración en el navegador
• Mostrar login y notificaciones
• Orquestar las llamadas a los servicios de monitoreo, analítica y administración</t>
        </is>
      </c>
      <c r="F18" s="9" t="inlineStr">
        <is>
          <t>• IConsolaWeb</t>
        </is>
      </c>
      <c r="G18" s="9" t="inlineStr">
        <is>
          <t>• ICicloVidaEventos (C05 GestorCicloVidaEventos)
• ICatalogoEventos (C07 CatalogoEventos)
• IMapaRed (C10 ServicioMapaRed)
• IActualizacionTiempoReal (C11 ActualizadorTiempoReal)
• IVistaOperador (C12 GestorVistaOperador)
• IOrquestacionAnalitica (C15 OrquestadorAnaliticaPerdidas)
• IGestionUsuarios (C18 GestorUsuariosRoles)
• IAutenticacion (C19 AutenticadorSesiones)
• IAutorizacion (C20 AutorizadorAcceso)
• IAsignacionZonas (C21 GestorAsignaciones)</t>
        </is>
      </c>
      <c r="H18" s="10" t="inlineStr">
        <is>
          <t>— (soporte)</t>
        </is>
      </c>
      <c r="I18" s="10" t="inlineStr">
        <is>
          <t>R4, R10</t>
        </is>
      </c>
    </row>
    <row r="19" ht="57.75" customHeight="1">
      <c r="A19" s="8" t="inlineStr">
        <is>
          <t>C15</t>
        </is>
      </c>
      <c r="B19" s="12" t="inlineStr">
        <is>
          <t>OrquestadorAnaliticaPerdidas</t>
        </is>
      </c>
      <c r="C19" s="9" t="inlineStr">
        <is>
          <t>Subsistema de Analítica de Balance y Pérdidas</t>
        </is>
      </c>
      <c r="D19" s="10" t="inlineStr">
        <is>
          <t>D5</t>
        </is>
      </c>
      <c r="E19" s="9" t="inlineStr">
        <is>
          <t>• Recibir la solicitud de balance mensual por año, transformador o circuito
• Particionar el trabajo por transformador y mes
• Entregar los resultados a la consola y el % de pérdidas al mapa (C10)</t>
        </is>
      </c>
      <c r="F19" s="9" t="inlineStr">
        <is>
          <t>• IOrquestacionAnalitica</t>
        </is>
      </c>
      <c r="G19" s="9" t="inlineStr">
        <is>
          <t>• ICalculoBalanceTransformador (C16 CalculadorBalanceTransformador)
• IBalanceCircuito (C17 AgregadorBalanceCircuito)
• IAutorizacion (C20 AutorizadorAcceso)</t>
        </is>
      </c>
      <c r="H19" s="10" t="inlineStr">
        <is>
          <t>R7.1, R7.6</t>
        </is>
      </c>
      <c r="I19" s="10" t="inlineStr">
        <is>
          <t>R7, R11</t>
        </is>
      </c>
    </row>
    <row r="20" ht="57.75" customHeight="1">
      <c r="A20" s="8" t="inlineStr">
        <is>
          <t>C16</t>
        </is>
      </c>
      <c r="B20" s="12" t="inlineStr">
        <is>
          <t>CalculadorBalanceTransformador</t>
        </is>
      </c>
      <c r="C20" s="9" t="inlineStr">
        <is>
          <t>Subsistema de Analítica de Balance y Pérdidas</t>
        </is>
      </c>
      <c r="D20" s="10" t="inlineStr">
        <is>
          <t>D5</t>
        </is>
      </c>
      <c r="E20" s="9" t="inlineStr">
        <is>
          <t>• Totalizar la energía inyectada registrada por el macromedidor
• Totalizar la energía consumida por los medidores asociados
• Calcular el balance y el % de pérdidas no técnicas
• Ejecutar en paralelo sobre el clúster (MIMD)</t>
        </is>
      </c>
      <c r="F20" s="9" t="inlineStr">
        <is>
          <t>• ICalculoBalanceTransformador</t>
        </is>
      </c>
      <c r="G20" s="9" t="inlineStr">
        <is>
          <t>• IConsultaTelemetria (C09 ServicioConsultaTelemetria)
• ITopologiaRed (C13 CatalogoTopologiaRed)</t>
        </is>
      </c>
      <c r="H20" s="10" t="inlineStr">
        <is>
          <t>R7.2, R7.3, R7.4</t>
        </is>
      </c>
      <c r="I20" s="10" t="inlineStr">
        <is>
          <t>R7, R13</t>
        </is>
      </c>
    </row>
    <row r="21" ht="44.25" customHeight="1">
      <c r="A21" s="8" t="inlineStr">
        <is>
          <t>C17</t>
        </is>
      </c>
      <c r="B21" s="12" t="inlineStr">
        <is>
          <t>AgregadorBalanceCircuito</t>
        </is>
      </c>
      <c r="C21" s="9" t="inlineStr">
        <is>
          <t>Subsistema de Analítica de Balance y Pérdidas</t>
        </is>
      </c>
      <c r="D21" s="10" t="inlineStr">
        <is>
          <t>D5</t>
        </is>
      </c>
      <c r="E21" s="9" t="inlineStr">
        <is>
          <t>• Agregar el balance de los transformadores al nivel de circuito
• Calcular el % de pérdidas del circuito</t>
        </is>
      </c>
      <c r="F21" s="9" t="inlineStr">
        <is>
          <t>• IBalanceCircuito</t>
        </is>
      </c>
      <c r="G21" s="9" t="inlineStr">
        <is>
          <t>• ITopologiaRed (C13 CatalogoTopologiaRed)
• ICalculoBalanceTransformador (C16 CalculadorBalanceTransformador)</t>
        </is>
      </c>
      <c r="H21" s="10" t="inlineStr">
        <is>
          <t>R7.5</t>
        </is>
      </c>
      <c r="I21" s="10" t="inlineStr">
        <is>
          <t>R7</t>
        </is>
      </c>
    </row>
    <row r="22" ht="39.75" customHeight="1">
      <c r="A22" s="8" t="inlineStr">
        <is>
          <t>C18</t>
        </is>
      </c>
      <c r="B22" s="12" t="inlineStr">
        <is>
          <t>GestorUsuariosRoles</t>
        </is>
      </c>
      <c r="C22" s="9" t="inlineStr">
        <is>
          <t>Subsistema de Administración y Seguridad</t>
        </is>
      </c>
      <c r="D22" s="10" t="inlineStr">
        <is>
          <t>D6</t>
        </is>
      </c>
      <c r="E22" s="9" t="inlineStr">
        <is>
          <t>• Administrar usuarios, roles y permisos
• Registrar los cambios de seguridad para auditoría</t>
        </is>
      </c>
      <c r="F22" s="9" t="inlineStr">
        <is>
          <t>• IGestionUsuarios</t>
        </is>
      </c>
      <c r="G22" s="9" t="inlineStr">
        <is>
          <t>• — (sin colaboradores; usa su propio almacenamiento o recibe solo llamadas)</t>
        </is>
      </c>
      <c r="H22" s="10" t="inlineStr">
        <is>
          <t>R3.1, R3.2, R3.3</t>
        </is>
      </c>
      <c r="I22" s="10" t="inlineStr">
        <is>
          <t>R3</t>
        </is>
      </c>
    </row>
    <row r="23" ht="44.25" customHeight="1">
      <c r="A23" s="8" t="inlineStr">
        <is>
          <t>C19</t>
        </is>
      </c>
      <c r="B23" s="12" t="inlineStr">
        <is>
          <t>AutenticadorSesiones</t>
        </is>
      </c>
      <c r="C23" s="9" t="inlineStr">
        <is>
          <t>Subsistema de Administración y Seguridad</t>
        </is>
      </c>
      <c r="D23" s="10" t="inlineStr">
        <is>
          <t>D6</t>
        </is>
      </c>
      <c r="E23" s="9" t="inlineStr">
        <is>
          <t>• Iniciar sesión de manera autenticada y segura
• Cerrar sesión
• Registrar el estado de la sesión (iniciada, activa, cerrada)</t>
        </is>
      </c>
      <c r="F23" s="9" t="inlineStr">
        <is>
          <t>• IAutenticacion</t>
        </is>
      </c>
      <c r="G23" s="9" t="inlineStr">
        <is>
          <t>• IGestionUsuarios (C18 GestorUsuariosRoles)</t>
        </is>
      </c>
      <c r="H23" s="10" t="inlineStr">
        <is>
          <t>R10.1, R10.2, R10.3</t>
        </is>
      </c>
      <c r="I23" s="10" t="inlineStr">
        <is>
          <t>R10, R15</t>
        </is>
      </c>
    </row>
    <row r="24" ht="39.75" customHeight="1">
      <c r="A24" s="8" t="inlineStr">
        <is>
          <t>C20</t>
        </is>
      </c>
      <c r="B24" s="12" t="inlineStr">
        <is>
          <t>AutorizadorAcceso</t>
        </is>
      </c>
      <c r="C24" s="9" t="inlineStr">
        <is>
          <t>Subsistema de Administración y Seguridad</t>
        </is>
      </c>
      <c r="D24" s="10" t="inlineStr">
        <is>
          <t>D6</t>
        </is>
      </c>
      <c r="E24" s="9" t="inlineStr">
        <is>
          <t>• Verificar el rol y permisos del usuario para cada función
• Rechazar y registrar accesos no autorizados</t>
        </is>
      </c>
      <c r="F24" s="9" t="inlineStr">
        <is>
          <t>• IAutorizacion</t>
        </is>
      </c>
      <c r="G24" s="9" t="inlineStr">
        <is>
          <t>• IGestionUsuarios (C18 GestorUsuariosRoles)</t>
        </is>
      </c>
      <c r="H24" s="10" t="inlineStr">
        <is>
          <t>R3.4</t>
        </is>
      </c>
      <c r="I24" s="10" t="inlineStr">
        <is>
          <t>R3, R10</t>
        </is>
      </c>
    </row>
    <row r="25" ht="39.75" customHeight="1">
      <c r="A25" s="8" t="inlineStr">
        <is>
          <t>C21</t>
        </is>
      </c>
      <c r="B25" s="12" t="inlineStr">
        <is>
          <t>GestorAsignaciones</t>
        </is>
      </c>
      <c r="C25" s="9" t="inlineStr">
        <is>
          <t>Subsistema de Administración y Seguridad</t>
        </is>
      </c>
      <c r="D25" s="10" t="inlineStr">
        <is>
          <t>D6</t>
        </is>
      </c>
      <c r="E25" s="9" t="inlineStr">
        <is>
          <t>• Asignar circuitos y zonas geográficas a un ingeniero operador
• Consultar las asignaciones vigentes por operador</t>
        </is>
      </c>
      <c r="F25" s="9" t="inlineStr">
        <is>
          <t>• IAsignacionZonas</t>
        </is>
      </c>
      <c r="G25" s="9" t="inlineStr">
        <is>
          <t>• ITopologiaRed (C13 CatalogoTopologiaRed)
• IAutorizacion (C20 AutorizadorAcceso)</t>
        </is>
      </c>
      <c r="H25" s="10" t="inlineStr">
        <is>
          <t>R8.1</t>
        </is>
      </c>
      <c r="I25" s="10" t="inlineStr">
        <is>
          <t>R9</t>
        </is>
      </c>
    </row>
    <row r="26" ht="71.25" customHeight="1">
      <c r="A26" s="8" t="inlineStr">
        <is>
          <t>C22</t>
        </is>
      </c>
      <c r="B26" s="12" t="inlineStr">
        <is>
          <t>GatewayAPIServicios</t>
        </is>
      </c>
      <c r="C26" s="9" t="inlineStr">
        <is>
          <t>Subsistema de Servicios Abiertos (APIs)</t>
        </is>
      </c>
      <c r="D26" s="10" t="inlineStr">
        <is>
          <t>D7</t>
        </is>
      </c>
      <c r="E26" s="9" t="inlineStr">
        <is>
          <t>• Exponer la API de índices de calidad y continuidad
• Exponer la API de historial de perfil de consumo
• Autenticar y autorizar a ciudadanos, empresas y entes de regulación
• Limitar la tasa de consultas por consumidor</t>
        </is>
      </c>
      <c r="F26" s="9" t="inlineStr">
        <is>
          <t>• IApiServicios</t>
        </is>
      </c>
      <c r="G26" s="9" t="inlineStr">
        <is>
          <t>• IConsultaTelemetria (C09 ServicioConsultaTelemetria)
• IAutenticacion (C19 AutenticadorSesiones)
• IIndicesCalidad (C23 CalculadorIndicesCalidad)</t>
        </is>
      </c>
      <c r="H26" s="10" t="inlineStr">
        <is>
          <t>R14.1, R14.2, R14.3</t>
        </is>
      </c>
      <c r="I26" s="10" t="inlineStr">
        <is>
          <t>R14, R10</t>
        </is>
      </c>
    </row>
    <row r="27" ht="44.25" customHeight="1">
      <c r="A27" s="8" t="inlineStr">
        <is>
          <t>C23</t>
        </is>
      </c>
      <c r="B27" s="12" t="inlineStr">
        <is>
          <t>CalculadorIndicesCalidad</t>
        </is>
      </c>
      <c r="C27" s="9" t="inlineStr">
        <is>
          <t>Subsistema de Servicios Abiertos (APIs)</t>
        </is>
      </c>
      <c r="D27" s="10" t="inlineStr">
        <is>
          <t>D7</t>
        </is>
      </c>
      <c r="E27" s="9" t="inlineStr">
        <is>
          <t>• Calcular índices de calidad y continuidad por zona a partir de eventos de corte y lecturas
• Entregar los índices al gateway de APIs</t>
        </is>
      </c>
      <c r="F27" s="9" t="inlineStr">
        <is>
          <t>• IIndicesCalidad</t>
        </is>
      </c>
      <c r="G27" s="9" t="inlineStr">
        <is>
          <t>• ICicloVidaEventos (C05 GestorCicloVidaEventos)
• IConsultaTelemetria (C09 ServicioConsultaTelemetria)
• ITopologiaRed (C13 CatalogoTopologiaRed)</t>
        </is>
      </c>
      <c r="H27" s="10" t="inlineStr">
        <is>
          <t>R14.4</t>
        </is>
      </c>
      <c r="I27" s="10" t="inlineStr">
        <is>
          <t>R14</t>
        </is>
      </c>
    </row>
    <row r="28" ht="44.25" customHeight="1">
      <c r="A28" s="8" t="inlineStr">
        <is>
          <t>C24</t>
        </is>
      </c>
      <c r="B28" s="12" t="inlineStr">
        <is>
          <t>AplicacionTerminalCampo</t>
        </is>
      </c>
      <c r="C28" s="9" t="inlineStr">
        <is>
          <t>Subsistema de Terminal de Campo</t>
        </is>
      </c>
      <c r="D28" s="10" t="inlineStr">
        <is>
          <t>D3</t>
        </is>
      </c>
      <c r="E28" s="9" t="inlineStr">
        <is>
          <t>• Mostrar el menú de eventos de campo parametrizados
• Aplicar categoría y prioridad y enviar el evento al sistema
• Navegar el menú con solo avance, retroceso y confirmar (R2)</t>
        </is>
      </c>
      <c r="F28" s="9" t="inlineStr">
        <is>
          <t>• ITerminalCampo</t>
        </is>
      </c>
      <c r="G28" s="9" t="inlineStr">
        <is>
          <t>• ICicloVidaEventos (C05 GestorCicloVidaEventos)
• ICatalogoEventos (C07 CatalogoEventos)
• IBotonesTerminal (C25 ControladorBotonesTerminal)</t>
        </is>
      </c>
      <c r="H28" s="10" t="inlineStr">
        <is>
          <t>R1.7, R1.8</t>
        </is>
      </c>
      <c r="I28" s="10" t="inlineStr">
        <is>
          <t>R2, R1</t>
        </is>
      </c>
    </row>
    <row r="29" ht="57.75" customHeight="1">
      <c r="A29" s="8" t="inlineStr">
        <is>
          <t>C25</t>
        </is>
      </c>
      <c r="B29" s="12" t="inlineStr">
        <is>
          <t>ControladorBotonesTerminal</t>
        </is>
      </c>
      <c r="C29" s="9" t="inlineStr">
        <is>
          <t>Subsistema de Terminal de Campo</t>
        </is>
      </c>
      <c r="D29" s="10" t="inlineStr">
        <is>
          <t>D3</t>
        </is>
      </c>
      <c r="E29" s="9" t="inlineStr">
        <is>
          <t>• Leer los dos botones laterales (avance y retroceso) y el pulsador central de confirmación
• Filtrar rebotes y entregar eventos de navegación a la aplicación</t>
        </is>
      </c>
      <c r="F29" s="9" t="inlineStr">
        <is>
          <t>• IBotonesTerminal</t>
        </is>
      </c>
      <c r="G29" s="9" t="inlineStr">
        <is>
          <t>• — (frontera con el hardware de la terminal)</t>
        </is>
      </c>
      <c r="H29" s="10" t="inlineStr">
        <is>
          <t>— (soporte)</t>
        </is>
      </c>
      <c r="I29" s="10" t="inlineStr">
        <is>
          <t>R2</t>
        </is>
      </c>
    </row>
  </sheetData>
  <mergeCells count="2">
    <mergeCell ref="A1:I1"/>
    <mergeCell ref="A2:I2"/>
  </mergeCells>
  <pageMargins left="0.75" right="0.75" top="1" bottom="1" header="0.511811023622047" footer="0.511811023622047"/>
  <pageSetup orientation="landscape" paperSize="9" fitToHeight="0" fitToWidth="1" horizontalDpi="300" verticalDpi="300"/>
</worksheet>
</file>

<file path=xl/worksheets/sheet7.xml><?xml version="1.0" encoding="utf-8"?>
<worksheet xmlns="http://schemas.openxmlformats.org/spreadsheetml/2006/main">
  <sheetPr>
    <outlinePr summaryBelow="1" summaryRight="1"/>
    <pageSetUpPr fitToPage="1"/>
  </sheetPr>
  <dimension ref="A1:E31"/>
  <sheetViews>
    <sheetView tabSelected="1" zoomScaleNormal="100" workbookViewId="0">
      <selection activeCell="B3" sqref="B3"/>
    </sheetView>
  </sheetViews>
  <sheetFormatPr baseColWidth="10" defaultColWidth="8.6640625" defaultRowHeight="14.4"/>
  <cols>
    <col width="28" customWidth="1" min="1" max="1"/>
    <col width="34" customWidth="1" min="2" max="2"/>
    <col width="50" customWidth="1" min="3" max="3"/>
    <col width="52" customWidth="1" min="4" max="4"/>
    <col width="44" customWidth="1" min="5" max="5"/>
  </cols>
  <sheetData>
    <row r="1" ht="21.75" customHeight="1">
      <c r="A1" s="7" t="n"/>
    </row>
    <row r="2">
      <c r="A2" s="6" t="n"/>
    </row>
    <row r="3"/>
    <row r="4" ht="30" customFormat="1" customHeight="1" s="16">
      <c r="A4" s="33" t="inlineStr">
        <is>
          <t>Interfaz</t>
        </is>
      </c>
      <c r="B4" s="33" t="inlineStr">
        <is>
          <t>Provista por (lollipop)</t>
        </is>
      </c>
      <c r="C4" s="33" t="inlineStr">
        <is>
          <t>Requerida por (socket)</t>
        </is>
      </c>
      <c r="D4" s="33" t="inlineStr">
        <is>
          <t>Operaciones</t>
        </is>
      </c>
      <c r="E4" s="33" t="inlineStr">
        <is>
          <t>Conector / protocolo (sugerido)</t>
        </is>
      </c>
    </row>
    <row r="5" ht="30.75" customHeight="1">
      <c r="A5" s="12" t="inlineStr">
        <is>
          <t>IIngestaDatagrama</t>
        </is>
      </c>
      <c r="B5" s="9" t="inlineStr">
        <is>
          <t>C01 ReceptorDatagramasAMI</t>
        </is>
      </c>
      <c r="C5" s="9" t="inlineStr">
        <is>
          <t>Smart Meter / Macromedidor (vía head-end)</t>
        </is>
      </c>
      <c r="D5" s="9" t="inlineStr">
        <is>
          <t>recibirDatagrama(bytes), confirmarRecepcion(id)</t>
        </is>
      </c>
      <c r="E5" s="9" t="inlineStr">
        <is>
          <t>Remota: MQTT sobre TLS (TCP 8883) desde concentradores NB-IoT/4G o RF Mesh</t>
        </is>
      </c>
    </row>
    <row r="6" ht="57.75" customHeight="1">
      <c r="A6" s="12" t="inlineStr">
        <is>
          <t>IBusMensajes</t>
        </is>
      </c>
      <c r="B6" s="9" t="inlineStr">
        <is>
          <t>C03 BusMensajeriaTelemetria</t>
        </is>
      </c>
      <c r="C6" s="9" t="inlineStr">
        <is>
          <t>ReceptorDatagramasAMI, ParserDatagramaAMI, ClasificadorEventosRed, GestorCicloVidaEventos, NotificadorOperadores, AlmacenSeriesTiempo, ActualizadorTiempoReal</t>
        </is>
      </c>
      <c r="D6" s="9" t="inlineStr">
        <is>
          <t>publicar(tema, mensaje), suscribir(tema, grupo)</t>
        </is>
      </c>
      <c r="E6" s="9" t="inlineStr">
        <is>
          <t>Remota (clúster): Apache Kafka sobre TLS (TCP 9093)</t>
        </is>
      </c>
    </row>
    <row r="7" ht="30.75" customHeight="1">
      <c r="A7" s="12" t="inlineStr">
        <is>
          <t>ILecturasNormalizadas</t>
        </is>
      </c>
      <c r="B7" s="9" t="inlineStr">
        <is>
          <t>C02 ParserDatagramaAMI</t>
        </is>
      </c>
      <c r="C7" s="9" t="inlineStr">
        <is>
          <t>ClasificadorEventosRed, AlmacenSeriesTiempo, ActualizadorTiempoReal</t>
        </is>
      </c>
      <c r="D7" s="9" t="inlineStr">
        <is>
          <t>tema telemetria.normalizada: meter_id, transformer_id, ts, v_rms, p_activa, kWh, cod_evento</t>
        </is>
      </c>
      <c r="E7" s="9" t="inlineStr">
        <is>
          <t>Mensajería asíncrona sobre IBusMensajes</t>
        </is>
      </c>
    </row>
    <row r="8" ht="30.75" customHeight="1">
      <c r="A8" s="12" t="inlineStr">
        <is>
          <t>IClasificacionEventos</t>
        </is>
      </c>
      <c r="B8" s="9" t="inlineStr">
        <is>
          <t>C04 ClasificadorEventosRed</t>
        </is>
      </c>
      <c r="C8" s="9" t="inlineStr">
        <is>
          <t>GestorCicloVidaEventos</t>
        </is>
      </c>
      <c r="D8" s="9" t="inlineStr">
        <is>
          <t>clasificar(lectura): Evento(categoría, prioridad); recargarReglas()</t>
        </is>
      </c>
      <c r="E8" s="9" t="inlineStr">
        <is>
          <t>Local (consumidor de flujo / llamada en proceso)</t>
        </is>
      </c>
    </row>
    <row r="9" ht="30.75" customHeight="1">
      <c r="A9" s="12" t="inlineStr">
        <is>
          <t>ICicloVidaEventos</t>
        </is>
      </c>
      <c r="B9" s="9" t="inlineStr">
        <is>
          <t>C05 GestorCicloVidaEventos</t>
        </is>
      </c>
      <c r="C9" s="9" t="inlineStr">
        <is>
          <t>ServicioMapaRed, ConsolaWebCOD, CalculadorIndicesCalidad, AplicacionTerminalCampo</t>
        </is>
      </c>
      <c r="D9" s="9" t="inlineStr">
        <is>
          <t>registrar(evento), cambiarEstado(id, estado), consultar(filtros)</t>
        </is>
      </c>
      <c r="E9" s="9" t="inlineStr">
        <is>
          <t>Remota: gRPC (HTTP/2, TLS) y HTTPS/REST (4G) para la terminal</t>
        </is>
      </c>
    </row>
    <row r="10" ht="30.75" customHeight="1">
      <c r="A10" s="12" t="inlineStr">
        <is>
          <t>INotificacionOperador</t>
        </is>
      </c>
      <c r="B10" s="9" t="inlineStr">
        <is>
          <t>C06 NotificadorOperadores</t>
        </is>
      </c>
      <c r="C10" s="9" t="inlineStr">
        <is>
          <t>GestorCicloVidaEventos</t>
        </is>
      </c>
      <c r="D10" s="9" t="inlineStr">
        <is>
          <t>notificar(evento, destinatarios)</t>
        </is>
      </c>
      <c r="E10" s="9" t="inlineStr">
        <is>
          <t>Remota: gRPC interno; push al navegador por WSS (443)</t>
        </is>
      </c>
    </row>
    <row r="11" ht="30.75" customHeight="1">
      <c r="A11" s="12" t="inlineStr">
        <is>
          <t>ICatalogoEventos</t>
        </is>
      </c>
      <c r="B11" s="9" t="inlineStr">
        <is>
          <t>C07 CatalogoEventos</t>
        </is>
      </c>
      <c r="C11" s="9" t="inlineStr">
        <is>
          <t>ClasificadorEventosRed, ConsolaWebCOD, AplicacionTerminalCampo</t>
        </is>
      </c>
      <c r="D11" s="9" t="inlineStr">
        <is>
          <t>consultarCatalogo(), parametrizar(evento, categoría, prioridad)</t>
        </is>
      </c>
      <c r="E11" s="9" t="inlineStr">
        <is>
          <t>Remota: HTTPS/REST (443)</t>
        </is>
      </c>
    </row>
    <row r="12" ht="30.75" customHeight="1">
      <c r="A12" s="12" t="inlineStr">
        <is>
          <t>IAlmacenSeries</t>
        </is>
      </c>
      <c r="B12" s="9" t="inlineStr">
        <is>
          <t>C08 AlmacenSeriesTiempo</t>
        </is>
      </c>
      <c r="C12" s="9" t="inlineStr">
        <is>
          <t>ServicioConsultaTelemetria</t>
        </is>
      </c>
      <c r="D12" s="9" t="inlineStr">
        <is>
          <t>escribirLectura(), consultarRango(), agregarMensual(transformer_id, mes)</t>
        </is>
      </c>
      <c r="E12" s="9" t="inlineStr">
        <is>
          <t>Remota: protocolo nativo de la base de series de tiempo (TCP 5432)</t>
        </is>
      </c>
    </row>
    <row r="13" ht="30.75" customHeight="1">
      <c r="A13" s="12" t="inlineStr">
        <is>
          <t>IConsultaTelemetria</t>
        </is>
      </c>
      <c r="B13" s="9" t="inlineStr">
        <is>
          <t>C09 ServicioConsultaTelemetria</t>
        </is>
      </c>
      <c r="C13" s="9" t="inlineStr">
        <is>
          <t>ServicioMapaRed, CalculadorBalanceTransformador, GatewayAPIServicios, CalculadorIndicesCalidad</t>
        </is>
      </c>
      <c r="D13" s="9" t="inlineStr">
        <is>
          <t>consultarTiempoReal(ids), consultarHistorico(rango, ids), combinar()</t>
        </is>
      </c>
      <c r="E13" s="9" t="inlineStr">
        <is>
          <t>Remota: gRPC interno</t>
        </is>
      </c>
    </row>
    <row r="14" ht="44.25" customHeight="1">
      <c r="A14" s="12" t="inlineStr">
        <is>
          <t>ITopologiaRed</t>
        </is>
      </c>
      <c r="B14" s="9" t="inlineStr">
        <is>
          <t>C13 CatalogoTopologiaRed</t>
        </is>
      </c>
      <c r="C14" s="9" t="inlineStr">
        <is>
          <t>ServicioMapaRed, GestorVistaOperador, CalculadorBalanceTransformador, AgregadorBalanceCircuito, GestorAsignaciones, CalculadorIndicesCalidad</t>
        </is>
      </c>
      <c r="D14" s="9" t="inlineStr">
        <is>
          <t>transformadoresDeCircuito(id), medidoresDeTransformador(id), geolocalizacion(id)</t>
        </is>
      </c>
      <c r="E14" s="9" t="inlineStr">
        <is>
          <t>Remota: JDBC/SQL (PostgreSQL + PostGIS, TCP 5432)</t>
        </is>
      </c>
    </row>
    <row r="15" ht="27.75" customHeight="1">
      <c r="A15" s="12" t="inlineStr">
        <is>
          <t>IMapaRed</t>
        </is>
      </c>
      <c r="B15" s="9" t="inlineStr">
        <is>
          <t>C10 ServicioMapaRed</t>
        </is>
      </c>
      <c r="C15" s="9" t="inlineStr">
        <is>
          <t>GestorVistaOperador, ConsolaWebCOD</t>
        </is>
      </c>
      <c r="D15" s="9" t="inlineStr">
        <is>
          <t>obtenerMapa(zona), estadoElemento(id)</t>
        </is>
      </c>
      <c r="E15" s="9" t="inlineStr">
        <is>
          <t>Remota: gRPC interno</t>
        </is>
      </c>
    </row>
    <row r="16" ht="27.75" customHeight="1">
      <c r="A16" s="12" t="inlineStr">
        <is>
          <t>IActualizacionTiempoReal</t>
        </is>
      </c>
      <c r="B16" s="9" t="inlineStr">
        <is>
          <t>C11 ActualizadorTiempoReal</t>
        </is>
      </c>
      <c r="C16" s="9" t="inlineStr">
        <is>
          <t>ConsolaWebCOD</t>
        </is>
      </c>
      <c r="D16" s="9" t="inlineStr">
        <is>
          <t>suscribirCambios(zona)</t>
        </is>
      </c>
      <c r="E16" s="9" t="inlineStr">
        <is>
          <t>Remota: WebSocket seguro (WSS, 443)</t>
        </is>
      </c>
    </row>
    <row r="17" ht="30.75" customHeight="1">
      <c r="A17" s="12" t="inlineStr">
        <is>
          <t>IVistaOperador</t>
        </is>
      </c>
      <c r="B17" s="9" t="inlineStr">
        <is>
          <t>C12 GestorVistaOperador</t>
        </is>
      </c>
      <c r="C17" s="9" t="inlineStr">
        <is>
          <t>ConsolaWebCOD</t>
        </is>
      </c>
      <c r="D17" s="9" t="inlineStr">
        <is>
          <t>zonasAsignadas(operador), circuitosYMedidores(circuito)</t>
        </is>
      </c>
      <c r="E17" s="9" t="inlineStr">
        <is>
          <t>Remota: gRPC interno</t>
        </is>
      </c>
    </row>
    <row r="18" ht="30.75" customHeight="1">
      <c r="A18" s="12" t="inlineStr">
        <is>
          <t>IConsolaWeb</t>
        </is>
      </c>
      <c r="B18" s="9" t="inlineStr">
        <is>
          <t>C14 ConsolaWebCOD</t>
        </is>
      </c>
      <c r="C18" s="9" t="inlineStr">
        <is>
          <t>Navegador (Operador del COD, Analista de pérdidas, Administrador)</t>
        </is>
      </c>
      <c r="D18" s="9" t="inlineStr">
        <is>
          <t>GET /mapa, GET /balance, GET /admin/*, WS /estado</t>
        </is>
      </c>
      <c r="E18" s="9" t="inlineStr">
        <is>
          <t>Remota: HTTPS/REST + WebSocket (WSS, 443)</t>
        </is>
      </c>
    </row>
    <row r="19" ht="30.75" customHeight="1">
      <c r="A19" s="12" t="inlineStr">
        <is>
          <t>IOrquestacionAnalitica</t>
        </is>
      </c>
      <c r="B19" s="9" t="inlineStr">
        <is>
          <t>C15 OrquestadorAnaliticaPerdidas</t>
        </is>
      </c>
      <c r="C19" s="9" t="inlineStr">
        <is>
          <t>ConsolaWebCOD, ServicioMapaRed</t>
        </is>
      </c>
      <c r="D19" s="9" t="inlineStr">
        <is>
          <t>estimarBalanceMensual(año, mes, alcance), seleccionarAnio(año)</t>
        </is>
      </c>
      <c r="E19" s="9" t="inlineStr">
        <is>
          <t>Remota: gRPC interno</t>
        </is>
      </c>
    </row>
    <row r="20" ht="30.75" customHeight="1">
      <c r="A20" s="12" t="inlineStr">
        <is>
          <t>ICalculoBalanceTransformador</t>
        </is>
      </c>
      <c r="B20" s="9" t="inlineStr">
        <is>
          <t>C16 CalculadorBalanceTransformador</t>
        </is>
      </c>
      <c r="C20" s="9" t="inlineStr">
        <is>
          <t>OrquestadorAnaliticaPerdidas, AgregadorBalanceCircuito</t>
        </is>
      </c>
      <c r="D20" s="9" t="inlineStr">
        <is>
          <t>calcularBalance(transformer_id, mes), pctPerdidasNoTecnicas(transformer_id, mes)</t>
        </is>
      </c>
      <c r="E20" s="9" t="inlineStr">
        <is>
          <t>Local (trabajos distribuidos sobre el clúster)</t>
        </is>
      </c>
    </row>
    <row r="21" ht="27.75" customHeight="1">
      <c r="A21" s="12" t="inlineStr">
        <is>
          <t>IBalanceCircuito</t>
        </is>
      </c>
      <c r="B21" s="9" t="inlineStr">
        <is>
          <t>C17 AgregadorBalanceCircuito</t>
        </is>
      </c>
      <c r="C21" s="9" t="inlineStr">
        <is>
          <t>OrquestadorAnaliticaPerdidas</t>
        </is>
      </c>
      <c r="D21" s="9" t="inlineStr">
        <is>
          <t>agregarCircuito(circuit_id, mes)</t>
        </is>
      </c>
      <c r="E21" s="9" t="inlineStr">
        <is>
          <t>Local (llamada en proceso)</t>
        </is>
      </c>
    </row>
    <row r="22" ht="30.75" customHeight="1">
      <c r="A22" s="12" t="inlineStr">
        <is>
          <t>IGestionUsuarios</t>
        </is>
      </c>
      <c r="B22" s="9" t="inlineStr">
        <is>
          <t>C18 GestorUsuariosRoles</t>
        </is>
      </c>
      <c r="C22" s="9" t="inlineStr">
        <is>
          <t>ConsolaWebCOD, AutenticadorSesiones, AutorizadorAcceso</t>
        </is>
      </c>
      <c r="D22" s="9" t="inlineStr">
        <is>
          <t>crearUsuario(), asignarRol(), definirPermisos(rol)</t>
        </is>
      </c>
      <c r="E22" s="9" t="inlineStr">
        <is>
          <t>Remota: gRPC interno</t>
        </is>
      </c>
    </row>
    <row r="23" ht="30.75" customHeight="1">
      <c r="A23" s="12" t="inlineStr">
        <is>
          <t>IAutenticacion</t>
        </is>
      </c>
      <c r="B23" s="9" t="inlineStr">
        <is>
          <t>C19 AutenticadorSesiones</t>
        </is>
      </c>
      <c r="C23" s="9" t="inlineStr">
        <is>
          <t>ConsolaWebCOD, GatewayAPIServicios</t>
        </is>
      </c>
      <c r="D23" s="9" t="inlineStr">
        <is>
          <t>iniciarSesion(credenciales), cerrarSesion(id), estadoSesion(id)</t>
        </is>
      </c>
      <c r="E23" s="9" t="inlineStr">
        <is>
          <t>Remota: HTTPS (OIDC / OAuth 2.0, JWT)</t>
        </is>
      </c>
    </row>
    <row r="24" ht="44.25" customHeight="1">
      <c r="A24" s="12" t="inlineStr">
        <is>
          <t>IAutorizacion</t>
        </is>
      </c>
      <c r="B24" s="9" t="inlineStr">
        <is>
          <t>C20 AutorizadorAcceso</t>
        </is>
      </c>
      <c r="C24" s="9" t="inlineStr">
        <is>
          <t>CatalogoEventos, ServicioMapaRed, GestorVistaOperador, ConsolaWebCOD, OrquestadorAnaliticaPerdidas, GestorAsignaciones</t>
        </is>
      </c>
      <c r="D24" s="9" t="inlineStr">
        <is>
          <t>autorizar(sesion, accion): permitido | denegado</t>
        </is>
      </c>
      <c r="E24" s="9" t="inlineStr">
        <is>
          <t>Remota: gRPC interno</t>
        </is>
      </c>
    </row>
    <row r="25" ht="30.75" customHeight="1">
      <c r="A25" s="12" t="inlineStr">
        <is>
          <t>IAsignacionZonas</t>
        </is>
      </c>
      <c r="B25" s="9" t="inlineStr">
        <is>
          <t>C21 GestorAsignaciones</t>
        </is>
      </c>
      <c r="C25" s="9" t="inlineStr">
        <is>
          <t>GestorVistaOperador, ConsolaWebCOD</t>
        </is>
      </c>
      <c r="D25" s="9" t="inlineStr">
        <is>
          <t>asignar(circuitos, zonas, operador), consultar(operador)</t>
        </is>
      </c>
      <c r="E25" s="9" t="inlineStr">
        <is>
          <t>Remota: gRPC interno</t>
        </is>
      </c>
    </row>
    <row r="26" ht="30.75" customHeight="1">
      <c r="A26" s="12" t="inlineStr">
        <is>
          <t>IApiServicios</t>
        </is>
      </c>
      <c r="B26" s="9" t="inlineStr">
        <is>
          <t>C22 GatewayAPIServicios</t>
        </is>
      </c>
      <c r="C26" s="9" t="inlineStr">
        <is>
          <t>Ciudadano, Empresa usuaria, Ente regulador (CREG / Superservicios)</t>
        </is>
      </c>
      <c r="D26" s="9" t="inlineStr">
        <is>
          <t>GET /indices-calidad?zona, GET /perfil-consumo?cuenta</t>
        </is>
      </c>
      <c r="E26" s="9" t="inlineStr">
        <is>
          <t>Remota: HTTPS/REST (443), OAuth 2.0</t>
        </is>
      </c>
    </row>
    <row r="27" ht="27.75" customHeight="1">
      <c r="A27" s="12" t="inlineStr">
        <is>
          <t>IIndicesCalidad</t>
        </is>
      </c>
      <c r="B27" s="9" t="inlineStr">
        <is>
          <t>C23 CalculadorIndicesCalidad</t>
        </is>
      </c>
      <c r="C27" s="9" t="inlineStr">
        <is>
          <t>GatewayAPIServicios</t>
        </is>
      </c>
      <c r="D27" s="9" t="inlineStr">
        <is>
          <t>calcularIndices(zona, periodo)</t>
        </is>
      </c>
      <c r="E27" s="9" t="inlineStr">
        <is>
          <t>Remota: gRPC interno</t>
        </is>
      </c>
    </row>
    <row r="28" ht="27.75" customHeight="1">
      <c r="A28" s="12" t="inlineStr">
        <is>
          <t>IBotonesTerminal</t>
        </is>
      </c>
      <c r="B28" s="9" t="inlineStr">
        <is>
          <t>C25 ControladorBotonesTerminal</t>
        </is>
      </c>
      <c r="C28" s="9" t="inlineStr">
        <is>
          <t>AplicacionTerminalCampo</t>
        </is>
      </c>
      <c r="D28" s="9" t="inlineStr">
        <is>
          <t>onAvance(), onRetroceso(), onConfirmar()</t>
        </is>
      </c>
      <c r="E28" s="9" t="inlineStr">
        <is>
          <t>Hardware: GPIO (botones físicos engomados)</t>
        </is>
      </c>
    </row>
    <row r="29" ht="30.75" customHeight="1">
      <c r="A29" s="12" t="inlineStr">
        <is>
          <t>ITerminalCampo</t>
        </is>
      </c>
      <c r="B29" s="9" t="inlineStr">
        <is>
          <t>C24 AplicacionTerminalCampo</t>
        </is>
      </c>
      <c r="C29" s="9" t="inlineStr">
        <is>
          <t>Técnico de cuadrilla (terminal de campo)</t>
        </is>
      </c>
      <c r="D29" s="9" t="inlineStr">
        <is>
          <t>menú de eventos: avanzar, retroceder, confirmar</t>
        </is>
      </c>
      <c r="E29" s="9" t="inlineStr">
        <is>
          <t>Interfaz de la terminal; sincroniza por HTTPS/REST sobre 4G</t>
        </is>
      </c>
    </row>
    <row r="30"/>
    <row r="31" ht="25.5" customHeight="1">
      <c r="A31" s="4" t="inlineStr">
        <is>
          <t>Los protocolos son una propuesta de partida derivada de los requerimientos (volumen R6, escalabilidad R13, disponibilidad R11, interoperabilidad R14, tiempo real R4); la pieza C (Deployment) los confirma o ajusta al asignar artefactos a cada nodo.</t>
        </is>
      </c>
    </row>
  </sheetData>
  <mergeCells count="3">
    <mergeCell ref="A2:E2"/>
    <mergeCell ref="A1:E1"/>
    <mergeCell ref="A31:E31"/>
  </mergeCells>
  <pageMargins left="0.75" right="0.75" top="1" bottom="1" header="0.511811023622047" footer="0.511811023622047"/>
  <pageSetup orientation="landscape" paperSize="9" fitToHeight="0" fitToWidth="1"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2026-10-18T20:21:32Z</dcterms:created>
  <dcterms:modified xmlns:dcterms="http://purl.org/dc/terms/" xmlns:xsi="http://www.w3.org/2001/XMLSchema-instance" xsi:type="dcterms:W3CDTF">2026-10-21T14:16:37Z</dcterms:modified>
  <cp:lastModifiedBy>Valeria Piza Saavedra</cp:lastModifiedBy>
  <cp:revision>0</cp:revision>
</cp:coreProperties>
</file>